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ISH\Desktop\DSA-Practice-Problem\"/>
    </mc:Choice>
  </mc:AlternateContent>
  <xr:revisionPtr revIDLastSave="0" documentId="13_ncr:1_{1F49C60D-6D74-4A1C-BEB7-14637B26DCE0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Raw Data" sheetId="1" r:id="rId1"/>
    <sheet name="_SORTED" sheetId="2" state="hidden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3" l="1"/>
  <c r="C20" i="3"/>
  <c r="C19" i="3"/>
  <c r="K16" i="3"/>
  <c r="K15" i="3"/>
  <c r="K14" i="3"/>
  <c r="D14" i="3"/>
  <c r="C14" i="3"/>
  <c r="K13" i="3"/>
  <c r="H13" i="3"/>
  <c r="G13" i="3"/>
  <c r="D13" i="3"/>
  <c r="C13" i="3"/>
  <c r="K12" i="3"/>
  <c r="H12" i="3"/>
  <c r="G12" i="3"/>
  <c r="D12" i="3"/>
  <c r="C12" i="3"/>
  <c r="K11" i="3"/>
  <c r="H11" i="3"/>
  <c r="G11" i="3"/>
  <c r="D11" i="3"/>
  <c r="C11" i="3"/>
  <c r="K10" i="3"/>
  <c r="H10" i="3"/>
  <c r="G10" i="3"/>
  <c r="D10" i="3"/>
  <c r="C10" i="3"/>
  <c r="G6" i="3"/>
  <c r="F6" i="3"/>
  <c r="E6" i="3"/>
  <c r="D6" i="3"/>
  <c r="C6" i="3"/>
  <c r="B6" i="3"/>
  <c r="B3" i="3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J28" i="3" l="1"/>
  <c r="I28" i="3"/>
  <c r="G28" i="3"/>
  <c r="E28" i="3"/>
  <c r="C28" i="3"/>
  <c r="J27" i="3"/>
  <c r="I27" i="3"/>
  <c r="G27" i="3"/>
  <c r="F27" i="3"/>
  <c r="D26" i="3"/>
  <c r="J25" i="3"/>
  <c r="F25" i="3"/>
  <c r="C25" i="3"/>
  <c r="I24" i="3"/>
  <c r="E24" i="3"/>
  <c r="D24" i="3"/>
  <c r="I23" i="3"/>
  <c r="F23" i="3"/>
  <c r="C23" i="3"/>
  <c r="H22" i="3"/>
  <c r="F22" i="3"/>
  <c r="E27" i="3"/>
  <c r="D27" i="3"/>
  <c r="C27" i="3"/>
  <c r="K26" i="3"/>
  <c r="J26" i="3"/>
  <c r="I26" i="3"/>
  <c r="H26" i="3"/>
  <c r="G26" i="3"/>
  <c r="E26" i="3"/>
  <c r="K25" i="3"/>
  <c r="G25" i="3"/>
  <c r="E25" i="3"/>
  <c r="K24" i="3"/>
  <c r="H24" i="3"/>
  <c r="F24" i="3"/>
  <c r="C24" i="3"/>
  <c r="H23" i="3"/>
  <c r="E23" i="3"/>
  <c r="K22" i="3"/>
  <c r="G22" i="3"/>
  <c r="H25" i="3"/>
  <c r="K23" i="3"/>
  <c r="E22" i="3"/>
  <c r="D22" i="3"/>
  <c r="C22" i="3"/>
  <c r="K21" i="3"/>
  <c r="J21" i="3"/>
  <c r="I21" i="3"/>
  <c r="H21" i="3"/>
  <c r="G21" i="3"/>
  <c r="F21" i="3"/>
  <c r="E21" i="3"/>
  <c r="D21" i="3"/>
  <c r="C21" i="3"/>
  <c r="K20" i="3"/>
  <c r="J20" i="3"/>
  <c r="I20" i="3"/>
  <c r="E19" i="3"/>
  <c r="H20" i="3"/>
  <c r="G20" i="3"/>
  <c r="E20" i="3"/>
  <c r="D20" i="3"/>
  <c r="K19" i="3"/>
  <c r="J19" i="3"/>
  <c r="I19" i="3"/>
  <c r="H19" i="3"/>
  <c r="G19" i="3"/>
  <c r="F19" i="3"/>
  <c r="D19" i="3"/>
  <c r="I22" i="3"/>
  <c r="K28" i="3"/>
  <c r="H28" i="3"/>
  <c r="F28" i="3"/>
  <c r="D28" i="3"/>
  <c r="K27" i="3"/>
  <c r="H27" i="3"/>
  <c r="F26" i="3"/>
  <c r="C26" i="3"/>
  <c r="I25" i="3"/>
  <c r="D25" i="3"/>
  <c r="J24" i="3"/>
  <c r="G24" i="3"/>
  <c r="J23" i="3"/>
  <c r="G23" i="3"/>
  <c r="D23" i="3"/>
  <c r="J22" i="3"/>
</calcChain>
</file>

<file path=xl/sharedStrings.xml><?xml version="1.0" encoding="utf-8"?>
<sst xmlns="http://schemas.openxmlformats.org/spreadsheetml/2006/main" count="123" uniqueCount="76">
  <si>
    <t>#</t>
  </si>
  <si>
    <t>Problem Name</t>
  </si>
  <si>
    <t>Topic / Tag</t>
  </si>
  <si>
    <t>Tech Stack</t>
  </si>
  <si>
    <t>Difficulty</t>
  </si>
  <si>
    <t>Status</t>
  </si>
  <si>
    <t>T.C</t>
  </si>
  <si>
    <t>S.C</t>
  </si>
  <si>
    <t>Approach / Concept</t>
  </si>
  <si>
    <t>Problem Link</t>
  </si>
  <si>
    <t>Date Added</t>
  </si>
  <si>
    <t>Last Revised</t>
  </si>
  <si>
    <t>Notes</t>
  </si>
  <si>
    <t>Maximum Product of Three Numbers</t>
  </si>
  <si>
    <t>Array</t>
  </si>
  <si>
    <t>Medium</t>
  </si>
  <si>
    <t>Solved</t>
  </si>
  <si>
    <t>O(log n)</t>
  </si>
  <si>
    <t>O(1)</t>
  </si>
  <si>
    <t>Sort array ascending. Max product = last 3 elements OR first 2 × last (negatives). Take max of both.</t>
  </si>
  <si>
    <t>https://leetcode.com/problems/maximum-product-of-three-numbers/description/</t>
  </si>
  <si>
    <t>Reverse content of array</t>
  </si>
  <si>
    <t>Easy</t>
  </si>
  <si>
    <t>O(n)</t>
  </si>
  <si>
    <t>Make ArrayList, add from matrix backwards.</t>
  </si>
  <si>
    <t>https://www.hackerrank.com/challenges/arrays-ds/submissions/code/478215640</t>
  </si>
  <si>
    <t>Hour Glass Sum</t>
  </si>
  <si>
    <t>Loop for each 3×3 sub-matrix, calculate sum manually. Return maximum.</t>
  </si>
  <si>
    <t>https://www.hackerrank.com/challenges/2d-array/submissions/code/478217759</t>
  </si>
  <si>
    <t>Matrix Left Rotation</t>
  </si>
  <si>
    <t>Very Easy</t>
  </si>
  <si>
    <t>ans.add(i, arr.get((len+i+d)%len)) inside loop.</t>
  </si>
  <si>
    <t>https://www.hackerrank.com/challenges/array-left-rotation/submissions/code/478219364</t>
  </si>
  <si>
    <t>O(n²)</t>
  </si>
  <si>
    <t>https://www.hackerrank.com/challenges/sparse-arrays/submissions/code/478220911</t>
  </si>
  <si>
    <t>Rank</t>
  </si>
  <si>
    <t>RowInRaw</t>
  </si>
  <si>
    <t>🧠  DSA REVISION DASHBOARD</t>
  </si>
  <si>
    <t>TOTAL</t>
  </si>
  <si>
    <t>SOLVED</t>
  </si>
  <si>
    <t>REVISIT</t>
  </si>
  <si>
    <t>STUCK</t>
  </si>
  <si>
    <t>TODAY</t>
  </si>
  <si>
    <t>MASTERY</t>
  </si>
  <si>
    <t>📊  DIFFICULTY</t>
  </si>
  <si>
    <t>⚡  STATUS</t>
  </si>
  <si>
    <t>🏷️  TOPICS</t>
  </si>
  <si>
    <t>Revisit</t>
  </si>
  <si>
    <t>String</t>
  </si>
  <si>
    <t>Stuck</t>
  </si>
  <si>
    <t>LinkedList</t>
  </si>
  <si>
    <t>Hard</t>
  </si>
  <si>
    <t>Todo</t>
  </si>
  <si>
    <t>Tree</t>
  </si>
  <si>
    <t>Extreme Hard</t>
  </si>
  <si>
    <t>Graph</t>
  </si>
  <si>
    <t>DP</t>
  </si>
  <si>
    <t>Sorting</t>
  </si>
  <si>
    <t>🕐  RECENT PROBLEMS  (by Last Revised ↓ — auto-updates)</t>
  </si>
  <si>
    <t>Topic</t>
  </si>
  <si>
    <t>Approach</t>
  </si>
  <si>
    <t>Link</t>
  </si>
  <si>
    <t>All values auto-update as you add rows in Raw Data. No manual refresh needed.</t>
  </si>
  <si>
    <t>Max Palindrome in a Word</t>
  </si>
  <si>
    <t>https://leetcode.com/problems/longest-palindromic-substring/submissions/2082790584/</t>
  </si>
  <si>
    <r>
      <t>O(n</t>
    </r>
    <r>
      <rPr>
        <vertAlign val="superscript"/>
        <sz val="10"/>
        <color rgb="FF1A1A2E"/>
        <rFont val="Calibri"/>
        <family val="2"/>
      </rPr>
      <t>3</t>
    </r>
    <r>
      <rPr>
        <sz val="10"/>
        <color rgb="FF1A1A2E"/>
        <rFont val="Calibri"/>
        <family val="2"/>
      </rPr>
      <t>)</t>
    </r>
  </si>
  <si>
    <t>Use Hashmap to store value &lt;String,Integer&gt; ,int max=0, use 2 for(i=max to n-1 ) , and (j= i+1 to n) loop and inside call paindrome, use condition if(j-i+1 &gt; max &amp;&amp; isPalindrome(string, map) . Put ans=str;max=j-i+1; and return ans finally</t>
  </si>
  <si>
    <t>Array Manipulation / Count matching String</t>
  </si>
  <si>
    <t>For all word of array, check if input[i] contains string[i], if yes count++</t>
  </si>
  <si>
    <t>Maximum Product of 2 Element in array</t>
  </si>
  <si>
    <t>O(n log n)</t>
  </si>
  <si>
    <t>Sort array ascending. Max product =  last 2 elements OR first 2 or first * last elements ). Take max of all.</t>
  </si>
  <si>
    <t>https://leetcode.com/problems/maximum-product-of-two-elements-in-an-array/submissions/2082855840/?envType=daily-question&amp;envId=2026-07-27</t>
  </si>
  <si>
    <t>Concatenation of Consecutive Binary Numbers LC-1680</t>
  </si>
  <si>
    <t>https://leetcode.com/problems/concatenation-of-consecutive-binary-numbers/submissions/2083312043/?envType=daily-question&amp;envId=2026-07-27</t>
  </si>
  <si>
    <t>Converting from binary to integer for higher length takes gives memory error even for BIgInteger, so use Modolus 10^9+7 i.e., 100000007 , then  inside fot(I to = n ) check if ((i &amp; (i - 1)) == 0)   bitLength++;     , then calculate inside loop only result = ((result &lt;&lt; bitLength) + i) % MOD; . return this result at last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</si>
</sst>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0" x14ac:knownFonts="1">
    <font>
      <sz val="11"/>
      <color theme="1"/>
      <name val="Calibri"/>
      <family val="2"/>
      <charset val="1"/>
    </font>
    <font>
      <b/>
      <sz val="10"/>
      <color rgb="FFE8E8F0"/>
      <name val="Calibri"/>
      <family val="2"/>
    </font>
    <font>
      <sz val="10"/>
      <color rgb="FF1A1A2E"/>
      <name val="Calibri"/>
      <family val="2"/>
    </font>
    <font>
      <b/>
      <sz val="18"/>
      <color rgb="FF58A6FF"/>
      <name val="Calibri"/>
      <family val="2"/>
    </font>
    <font>
      <sz val="9"/>
      <color rgb="FF8B949E"/>
      <name val="Calibri"/>
      <family val="2"/>
    </font>
    <font>
      <b/>
      <sz val="8"/>
      <color rgb="FF8B949E"/>
      <name val="Calibri"/>
      <family val="2"/>
    </font>
    <font>
      <b/>
      <sz val="22"/>
      <color rgb="FF58A6FF"/>
      <name val="Calibri"/>
      <family val="2"/>
    </font>
    <font>
      <b/>
      <sz val="22"/>
      <color rgb="FF27AE60"/>
      <name val="Calibri"/>
      <family val="2"/>
    </font>
    <font>
      <b/>
      <sz val="22"/>
      <color rgb="FFF2994A"/>
      <name val="Calibri"/>
      <family val="2"/>
    </font>
    <font>
      <b/>
      <sz val="22"/>
      <color rgb="FFEB5757"/>
      <name val="Calibri"/>
      <family val="2"/>
    </font>
    <font>
      <b/>
      <sz val="10"/>
      <color rgb="FFF0F6FC"/>
      <name val="Calibri"/>
      <family val="2"/>
    </font>
    <font>
      <b/>
      <sz val="9"/>
      <color rgb="FF27AE60"/>
      <name val="Calibri"/>
      <family val="2"/>
    </font>
    <font>
      <b/>
      <sz val="12"/>
      <color rgb="FF27AE60"/>
      <name val="Calibri"/>
      <family val="2"/>
    </font>
    <font>
      <b/>
      <sz val="11"/>
      <color rgb="FF58A6FF"/>
      <name val="Calibri"/>
      <family val="2"/>
    </font>
    <font>
      <b/>
      <sz val="9"/>
      <color rgb="FF58A6FF"/>
      <name val="Calibri"/>
      <family val="2"/>
    </font>
    <font>
      <b/>
      <sz val="12"/>
      <color rgb="FF58A6FF"/>
      <name val="Calibri"/>
      <family val="2"/>
    </font>
    <font>
      <b/>
      <sz val="9"/>
      <color rgb="FFF2994A"/>
      <name val="Calibri"/>
      <family val="2"/>
    </font>
    <font>
      <b/>
      <sz val="12"/>
      <color rgb="FFF2994A"/>
      <name val="Calibri"/>
      <family val="2"/>
    </font>
    <font>
      <b/>
      <sz val="9"/>
      <color rgb="FFEB5757"/>
      <name val="Calibri"/>
      <family val="2"/>
    </font>
    <font>
      <b/>
      <sz val="12"/>
      <color rgb="FFEB5757"/>
      <name val="Calibri"/>
      <family val="2"/>
    </font>
    <font>
      <b/>
      <sz val="9"/>
      <color rgb="FF8B949E"/>
      <name val="Calibri"/>
      <family val="2"/>
    </font>
    <font>
      <b/>
      <sz val="12"/>
      <color rgb="FF8B949E"/>
      <name val="Calibri"/>
      <family val="2"/>
    </font>
    <font>
      <b/>
      <sz val="9"/>
      <color rgb="FF9B51E0"/>
      <name val="Calibri"/>
      <family val="2"/>
    </font>
    <font>
      <b/>
      <sz val="12"/>
      <color rgb="FF9B51E0"/>
      <name val="Calibri"/>
      <family val="2"/>
    </font>
    <font>
      <i/>
      <sz val="8"/>
      <color rgb="FF8B949E"/>
      <name val="Calibri"/>
      <family val="2"/>
    </font>
    <font>
      <u/>
      <sz val="11"/>
      <color theme="10"/>
      <name val="Calibri"/>
      <family val="2"/>
      <charset val="1"/>
    </font>
    <font>
      <u/>
      <sz val="10"/>
      <color rgb="FF0070C0"/>
      <name val="Calibri"/>
      <family val="2"/>
    </font>
    <font>
      <sz val="11"/>
      <color rgb="FF0070C0"/>
      <name val="Calibri"/>
      <family val="2"/>
    </font>
    <font>
      <b/>
      <sz val="10"/>
      <color theme="0"/>
      <name val="Calibri"/>
      <family val="2"/>
    </font>
    <font>
      <vertAlign val="superscript"/>
      <sz val="10"/>
      <color rgb="FF1A1A2E"/>
      <name val="Calibri"/>
      <family val="2"/>
    </font>
    <font>
      <sz val="11"/>
      <color theme="1"/>
      <name val="Calibri"/>
      <family val="2"/>
    </font>
    <font>
      <b/>
      <sz val="11"/>
      <color rgb="FF8B949E"/>
      <name val="Calibri"/>
      <family val="2"/>
    </font>
    <font>
      <b/>
      <sz val="11"/>
      <color rgb="FFF0F6FC"/>
      <name val="Calibri"/>
      <family val="2"/>
    </font>
    <font>
      <sz val="11"/>
      <color rgb="FF8B949E"/>
      <name val="Calibri"/>
      <family val="2"/>
    </font>
    <font>
      <b/>
      <sz val="11"/>
      <color rgb="FFF2994A"/>
      <name val="Calibri"/>
      <family val="2"/>
    </font>
    <font>
      <b/>
      <sz val="11"/>
      <color rgb="FF27AE60"/>
      <name val="Calibri"/>
      <family val="2"/>
    </font>
    <font>
      <i/>
      <sz val="11"/>
      <color rgb="FF8B949E"/>
      <name val="Calibri"/>
      <family val="2"/>
    </font>
    <font>
      <u/>
      <sz val="11"/>
      <color rgb="FF58A6FF"/>
      <name val="Calibri"/>
      <family val="2"/>
    </font>
    <font>
      <b/>
      <sz val="10"/>
      <color rgb="FF1A1A2E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161B22"/>
      </patternFill>
    </fill>
    <fill>
      <patternFill patternType="solid">
        <fgColor rgb="FFF7F9FF"/>
        <bgColor rgb="FFF0F6FC"/>
      </patternFill>
    </fill>
    <fill>
      <patternFill patternType="solid">
        <fgColor rgb="FFFFFFFF"/>
        <bgColor rgb="FFF7F9FF"/>
      </patternFill>
    </fill>
    <fill>
      <patternFill patternType="solid">
        <fgColor rgb="FF0D1117"/>
        <bgColor rgb="FF161B22"/>
      </patternFill>
    </fill>
    <fill>
      <patternFill patternType="solid">
        <fgColor rgb="FF161B22"/>
        <bgColor rgb="FF1A1A2E"/>
      </patternFill>
    </fill>
    <fill>
      <patternFill patternType="solid">
        <fgColor rgb="FF30363D"/>
        <bgColor rgb="FF444444"/>
      </patternFill>
    </fill>
    <fill>
      <patternFill patternType="solid">
        <fgColor rgb="FF21262D"/>
        <bgColor rgb="FF1A1A2E"/>
      </patternFill>
    </fill>
  </fills>
  <borders count="5">
    <border>
      <left/>
      <right/>
      <top/>
      <bottom/>
      <diagonal/>
    </border>
    <border>
      <left style="thin">
        <color rgb="FF444466"/>
      </left>
      <right style="thin">
        <color rgb="FF444466"/>
      </right>
      <top style="thin">
        <color rgb="FF444466"/>
      </top>
      <bottom style="thin">
        <color rgb="FF444466"/>
      </bottom>
      <diagonal/>
    </border>
    <border>
      <left style="thin">
        <color rgb="FFDDDDE8"/>
      </left>
      <right style="thin">
        <color rgb="FFDDDDE8"/>
      </right>
      <top style="thin">
        <color rgb="FFDDDDE8"/>
      </top>
      <bottom style="thin">
        <color rgb="FFDDDDE8"/>
      </bottom>
      <diagonal/>
    </border>
    <border>
      <left style="medium">
        <color rgb="FF30363D"/>
      </left>
      <right style="medium">
        <color rgb="FF30363D"/>
      </right>
      <top style="medium">
        <color rgb="FF30363D"/>
      </top>
      <bottom style="medium">
        <color rgb="FF30363D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66">
    <xf numFmtId="0" fontId="0" fillId="0" borderId="0" xfId="0"/>
    <xf numFmtId="0" fontId="4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0" fillId="5" borderId="0" xfId="0" applyFill="1"/>
    <xf numFmtId="0" fontId="0" fillId="7" borderId="0" xfId="0" applyFill="1"/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26" fillId="3" borderId="2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7" fillId="0" borderId="0" xfId="0" applyFont="1"/>
    <xf numFmtId="0" fontId="28" fillId="2" borderId="1" xfId="0" applyFont="1" applyFill="1" applyBorder="1" applyAlignment="1">
      <alignment horizontal="center" vertical="center"/>
    </xf>
    <xf numFmtId="0" fontId="30" fillId="5" borderId="0" xfId="0" applyFont="1" applyFill="1"/>
    <xf numFmtId="0" fontId="31" fillId="8" borderId="4" xfId="0" applyFont="1" applyFill="1" applyBorder="1" applyAlignment="1">
      <alignment horizontal="center" vertical="center"/>
    </xf>
    <xf numFmtId="0" fontId="30" fillId="0" borderId="0" xfId="0" applyFont="1"/>
    <xf numFmtId="0" fontId="31" fillId="6" borderId="0" xfId="0" applyFont="1" applyFill="1" applyAlignment="1">
      <alignment horizontal="center" vertical="center"/>
    </xf>
    <xf numFmtId="0" fontId="32" fillId="6" borderId="0" xfId="0" applyFont="1" applyFill="1" applyAlignment="1">
      <alignment horizontal="left" vertical="center"/>
    </xf>
    <xf numFmtId="0" fontId="33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6" fillId="6" borderId="0" xfId="0" applyFont="1" applyFill="1" applyAlignment="1">
      <alignment horizontal="left" vertical="center"/>
    </xf>
    <xf numFmtId="0" fontId="37" fillId="6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32" fillId="5" borderId="0" xfId="0" applyFont="1" applyFill="1" applyAlignment="1">
      <alignment horizontal="left" vertical="center"/>
    </xf>
    <xf numFmtId="0" fontId="33" fillId="5" borderId="0" xfId="0" applyFont="1" applyFill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36" fillId="5" borderId="0" xfId="0" applyFont="1" applyFill="1" applyAlignment="1">
      <alignment horizontal="left" vertical="center"/>
    </xf>
    <xf numFmtId="0" fontId="37" fillId="5" borderId="0" xfId="0" applyFont="1" applyFill="1" applyAlignment="1">
      <alignment horizontal="center" vertical="center"/>
    </xf>
    <xf numFmtId="0" fontId="25" fillId="0" borderId="0" xfId="1"/>
    <xf numFmtId="164" fontId="1" fillId="2" borderId="1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4" fontId="30" fillId="0" borderId="0" xfId="0" applyNumberFormat="1" applyFont="1"/>
    <xf numFmtId="164" fontId="38" fillId="3" borderId="2" xfId="0" applyNumberFormat="1" applyFont="1" applyFill="1" applyBorder="1" applyAlignment="1">
      <alignment horizontal="center" vertical="center"/>
    </xf>
    <xf numFmtId="164" fontId="38" fillId="4" borderId="2" xfId="0" applyNumberFormat="1" applyFont="1" applyFill="1" applyBorder="1" applyAlignment="1">
      <alignment horizontal="center" vertical="center"/>
    </xf>
    <xf numFmtId="164" fontId="39" fillId="0" borderId="0" xfId="0" applyNumberFormat="1" applyFont="1"/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8">
    <dxf>
      <font>
        <b/>
        <sz val="10"/>
        <color rgb="FF444444"/>
        <name val="Calibri"/>
        <charset val="1"/>
      </font>
      <fill>
        <patternFill>
          <bgColor rgb="FFEDEDED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276221"/>
        <name val="Calibri"/>
        <charset val="1"/>
      </font>
      <fill>
        <patternFill>
          <bgColor rgb="FFC6EFCE"/>
        </patternFill>
      </fill>
    </dxf>
    <dxf>
      <font>
        <b/>
        <sz val="10"/>
        <color rgb="FF4A235A"/>
        <name val="Calibri"/>
        <charset val="1"/>
      </font>
      <fill>
        <patternFill>
          <bgColor rgb="FFE2CFFF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1F4E79"/>
        <name val="Calibri"/>
        <charset val="1"/>
      </font>
      <fill>
        <patternFill>
          <bgColor rgb="FFBDD7EE"/>
        </patternFill>
      </fill>
    </dxf>
    <dxf>
      <font>
        <b/>
        <sz val="10"/>
        <color rgb="FF276221"/>
        <name val="Calibri"/>
        <charset val="1"/>
      </font>
      <fill>
        <patternFill>
          <bgColor rgb="FFC6EFCE"/>
        </patternFill>
      </fill>
    </dxf>
    <dxf>
      <font>
        <b/>
      </font>
      <numFmt numFmtId="164" formatCode="[$-14009]dd/mm/yyyy;@"/>
    </dxf>
    <dxf>
      <font>
        <b val="0"/>
      </font>
      <numFmt numFmtId="164" formatCode="[$-14009]dd/mm/yyyy;@"/>
    </dxf>
    <dxf>
      <font>
        <strike val="0"/>
        <outline val="0"/>
        <shadow val="0"/>
        <vertAlign val="baseline"/>
        <color rgb="FF0070C0"/>
        <name val="Calibri"/>
        <family val="2"/>
        <scheme val="none"/>
      </font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1A1A2E"/>
      <rgbColor rgb="FF9C6500"/>
      <rgbColor rgb="FF800080"/>
      <rgbColor rgb="FF008080"/>
      <rgbColor rgb="FFDDDDE8"/>
      <rgbColor rgb="FF808080"/>
      <rgbColor rgb="FF58A6FF"/>
      <rgbColor rgb="FF444444"/>
      <rgbColor rgb="FFF7F9FF"/>
      <rgbColor rgb="FFF0F6FC"/>
      <rgbColor rgb="FF4A235A"/>
      <rgbColor rgb="FFFF8080"/>
      <rgbColor rgb="FF0066CC"/>
      <rgbColor rgb="FFE2CFFF"/>
      <rgbColor rgb="FF0D1117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BDD7EE"/>
      <rgbColor rgb="FFFF99CC"/>
      <rgbColor rgb="FFE8E8F0"/>
      <rgbColor rgb="FFFFC7CE"/>
      <rgbColor rgb="FF2F80ED"/>
      <rgbColor rgb="FF33CCCC"/>
      <rgbColor rgb="FF99CC00"/>
      <rgbColor rgb="FFFFCC00"/>
      <rgbColor rgb="FFF2994A"/>
      <rgbColor rgb="FFEB5757"/>
      <rgbColor rgb="FF9B51E0"/>
      <rgbColor rgb="FF8B949E"/>
      <rgbColor rgb="FF1F4E79"/>
      <rgbColor rgb="FF27AE60"/>
      <rgbColor rgb="FF161B22"/>
      <rgbColor rgb="FF21262D"/>
      <rgbColor rgb="FF993300"/>
      <rgbColor rgb="FF993366"/>
      <rgbColor rgb="FF444466"/>
      <rgbColor rgb="FF3036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SAData" displayName="DSAData" ref="A1:L11" totalsRowShown="0">
  <autoFilter ref="A1:L11" xr:uid="{00000000-0009-0000-0100-000001000000}"/>
  <tableColumns count="12">
    <tableColumn id="2" xr3:uid="{00000000-0010-0000-0000-000002000000}" name="Problem Name"/>
    <tableColumn id="3" xr3:uid="{00000000-0010-0000-0000-000003000000}" name="Topic / Tag" dataDxfId="17"/>
    <tableColumn id="4" xr3:uid="{00000000-0010-0000-0000-000004000000}" name="Tech Stack" dataDxfId="16"/>
    <tableColumn id="5" xr3:uid="{00000000-0010-0000-0000-000005000000}" name="Difficulty" dataDxfId="15"/>
    <tableColumn id="6" xr3:uid="{00000000-0010-0000-0000-000006000000}" name="Status" dataDxfId="14"/>
    <tableColumn id="7" xr3:uid="{00000000-0010-0000-0000-000007000000}" name="T.C" dataDxfId="13"/>
    <tableColumn id="8" xr3:uid="{00000000-0010-0000-0000-000008000000}" name="S.C" dataDxfId="12"/>
    <tableColumn id="9" xr3:uid="{00000000-0010-0000-0000-000009000000}" name="Approach / Concept"/>
    <tableColumn id="10" xr3:uid="{00000000-0010-0000-0000-00000A000000}" name="Problem Link" dataDxfId="11"/>
    <tableColumn id="11" xr3:uid="{00000000-0010-0000-0000-00000B000000}" name="Date Added" dataDxfId="10"/>
    <tableColumn id="12" xr3:uid="{00000000-0010-0000-0000-00000C000000}" name="Last Revised" dataDxfId="9"/>
    <tableColumn id="13" xr3:uid="{00000000-0010-0000-0000-00000D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ckerrank.com/challenges/2d-array/submissions/code/478217759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hackerrank.com/challenges/arrays-ds/submissions/code/478215640" TargetMode="External"/><Relationship Id="rId1" Type="http://schemas.openxmlformats.org/officeDocument/2006/relationships/hyperlink" Target="https://leetcode.com/problems/maximum-product-of-three-numbers/description/" TargetMode="External"/><Relationship Id="rId6" Type="http://schemas.openxmlformats.org/officeDocument/2006/relationships/hyperlink" Target="https://leetcode.com/problems/maximum-product-of-two-elements-in-an-array/submissions/2082855840/?envType=daily-question&amp;envId=2026-07-27" TargetMode="External"/><Relationship Id="rId5" Type="http://schemas.openxmlformats.org/officeDocument/2006/relationships/hyperlink" Target="https://www.hackerrank.com/challenges/sparse-arrays/submissions/code/478220911" TargetMode="External"/><Relationship Id="rId4" Type="http://schemas.openxmlformats.org/officeDocument/2006/relationships/hyperlink" Target="https://www.hackerrank.com/challenges/array-left-rotation/submissions/code/4782193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L9"/>
  <sheetViews>
    <sheetView zoomScaleNormal="10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defaultColWidth="8.6640625" defaultRowHeight="14.4" x14ac:dyDescent="0.3"/>
  <cols>
    <col min="1" max="1" width="36.5546875" customWidth="1"/>
    <col min="2" max="2" width="10" style="25" customWidth="1"/>
    <col min="3" max="3" width="8.6640625" style="25" customWidth="1"/>
    <col min="4" max="4" width="10.21875" style="25" customWidth="1"/>
    <col min="5" max="5" width="10" style="25" customWidth="1"/>
    <col min="6" max="6" width="7.88671875" style="25" customWidth="1"/>
    <col min="7" max="7" width="7" style="25" customWidth="1"/>
    <col min="8" max="8" width="50" customWidth="1"/>
    <col min="9" max="9" width="11" style="28" customWidth="1"/>
    <col min="10" max="10" width="12.88671875" style="52" customWidth="1"/>
    <col min="11" max="11" width="12.88671875" style="55" customWidth="1"/>
    <col min="12" max="12" width="29.5546875" customWidth="1"/>
  </cols>
  <sheetData>
    <row r="1" spans="1:12" ht="30" customHeigh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9" t="s">
        <v>9</v>
      </c>
      <c r="J1" s="49" t="s">
        <v>10</v>
      </c>
      <c r="K1" s="49" t="s">
        <v>11</v>
      </c>
      <c r="L1" s="2" t="s">
        <v>12</v>
      </c>
    </row>
    <row r="2" spans="1:12" ht="19.8" customHeight="1" x14ac:dyDescent="0.3">
      <c r="A2" s="3" t="s">
        <v>13</v>
      </c>
      <c r="B2" s="4" t="s">
        <v>14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3" t="s">
        <v>19</v>
      </c>
      <c r="I2" s="26" t="s">
        <v>20</v>
      </c>
      <c r="J2" s="50">
        <v>46229</v>
      </c>
      <c r="K2" s="53">
        <v>46229</v>
      </c>
      <c r="L2" s="3"/>
    </row>
    <row r="3" spans="1:12" ht="17.399999999999999" customHeight="1" x14ac:dyDescent="0.3">
      <c r="A3" s="5" t="s">
        <v>21</v>
      </c>
      <c r="B3" s="6" t="s">
        <v>14</v>
      </c>
      <c r="C3" s="6" t="s">
        <v>14</v>
      </c>
      <c r="D3" s="6" t="s">
        <v>22</v>
      </c>
      <c r="E3" s="6" t="s">
        <v>16</v>
      </c>
      <c r="F3" s="6" t="s">
        <v>23</v>
      </c>
      <c r="G3" s="6" t="s">
        <v>23</v>
      </c>
      <c r="H3" s="5" t="s">
        <v>24</v>
      </c>
      <c r="I3" s="27" t="s">
        <v>25</v>
      </c>
      <c r="J3" s="51">
        <v>46229</v>
      </c>
      <c r="K3" s="54">
        <v>46229</v>
      </c>
      <c r="L3" s="5"/>
    </row>
    <row r="4" spans="1:12" ht="17.399999999999999" customHeight="1" x14ac:dyDescent="0.3">
      <c r="A4" s="3" t="s">
        <v>26</v>
      </c>
      <c r="B4" s="4" t="s">
        <v>14</v>
      </c>
      <c r="C4" s="4" t="s">
        <v>14</v>
      </c>
      <c r="D4" s="4" t="s">
        <v>22</v>
      </c>
      <c r="E4" s="4" t="s">
        <v>16</v>
      </c>
      <c r="F4" s="4" t="s">
        <v>23</v>
      </c>
      <c r="G4" s="4" t="s">
        <v>18</v>
      </c>
      <c r="H4" s="3" t="s">
        <v>27</v>
      </c>
      <c r="I4" s="26" t="s">
        <v>28</v>
      </c>
      <c r="J4" s="50">
        <v>46229</v>
      </c>
      <c r="K4" s="53">
        <v>46229</v>
      </c>
      <c r="L4" s="3"/>
    </row>
    <row r="5" spans="1:12" ht="13.2" customHeight="1" x14ac:dyDescent="0.3">
      <c r="A5" s="5" t="s">
        <v>29</v>
      </c>
      <c r="B5" s="6" t="s">
        <v>14</v>
      </c>
      <c r="C5" s="6" t="s">
        <v>14</v>
      </c>
      <c r="D5" s="6" t="s">
        <v>30</v>
      </c>
      <c r="E5" s="6" t="s">
        <v>16</v>
      </c>
      <c r="F5" s="6" t="s">
        <v>23</v>
      </c>
      <c r="G5" s="6" t="s">
        <v>23</v>
      </c>
      <c r="H5" s="5" t="s">
        <v>31</v>
      </c>
      <c r="I5" s="27" t="s">
        <v>32</v>
      </c>
      <c r="J5" s="51">
        <v>46229</v>
      </c>
      <c r="K5" s="54">
        <v>46229</v>
      </c>
      <c r="L5" s="5"/>
    </row>
    <row r="6" spans="1:12" ht="17.399999999999999" customHeight="1" x14ac:dyDescent="0.3">
      <c r="A6" s="3" t="s">
        <v>67</v>
      </c>
      <c r="B6" s="4" t="s">
        <v>14</v>
      </c>
      <c r="C6" s="4" t="s">
        <v>14</v>
      </c>
      <c r="D6" s="4" t="s">
        <v>22</v>
      </c>
      <c r="E6" s="4" t="s">
        <v>16</v>
      </c>
      <c r="F6" s="4" t="s">
        <v>33</v>
      </c>
      <c r="G6" s="4" t="s">
        <v>23</v>
      </c>
      <c r="H6" s="3" t="s">
        <v>68</v>
      </c>
      <c r="I6" s="26" t="s">
        <v>34</v>
      </c>
      <c r="J6" s="50">
        <v>46230</v>
      </c>
      <c r="K6" s="53">
        <v>46230</v>
      </c>
      <c r="L6" s="3"/>
    </row>
    <row r="7" spans="1:12" ht="15" x14ac:dyDescent="0.3">
      <c r="A7" t="s">
        <v>63</v>
      </c>
      <c r="B7" s="4" t="s">
        <v>14</v>
      </c>
      <c r="C7" s="4" t="s">
        <v>14</v>
      </c>
      <c r="D7" s="25" t="s">
        <v>51</v>
      </c>
      <c r="E7" s="25" t="s">
        <v>16</v>
      </c>
      <c r="F7" s="4" t="s">
        <v>65</v>
      </c>
      <c r="G7" s="4" t="s">
        <v>23</v>
      </c>
      <c r="H7" t="s">
        <v>66</v>
      </c>
      <c r="I7" s="28" t="s">
        <v>64</v>
      </c>
      <c r="J7" s="50">
        <v>46231</v>
      </c>
      <c r="K7" s="53">
        <v>46231</v>
      </c>
    </row>
    <row r="8" spans="1:12" x14ac:dyDescent="0.3">
      <c r="A8" t="s">
        <v>69</v>
      </c>
      <c r="B8" s="4" t="s">
        <v>14</v>
      </c>
      <c r="C8" s="4" t="s">
        <v>14</v>
      </c>
      <c r="D8" s="25" t="s">
        <v>30</v>
      </c>
      <c r="E8" s="25" t="s">
        <v>16</v>
      </c>
      <c r="F8" s="25" t="s">
        <v>70</v>
      </c>
      <c r="G8" s="25" t="s">
        <v>18</v>
      </c>
      <c r="H8" t="s">
        <v>71</v>
      </c>
      <c r="I8" s="48" t="s">
        <v>72</v>
      </c>
      <c r="J8" s="50">
        <v>46232</v>
      </c>
      <c r="K8" s="53">
        <v>46232</v>
      </c>
    </row>
    <row r="9" spans="1:12" x14ac:dyDescent="0.3">
      <c r="A9" t="s">
        <v>73</v>
      </c>
      <c r="B9" s="4" t="s">
        <v>14</v>
      </c>
      <c r="C9" s="4" t="s">
        <v>14</v>
      </c>
      <c r="D9" s="25" t="s">
        <v>51</v>
      </c>
      <c r="E9" s="25" t="s">
        <v>16</v>
      </c>
      <c r="G9" s="25" t="s">
        <v>18</v>
      </c>
      <c r="H9" t="s">
        <v>75</v>
      </c>
      <c r="I9" s="28" t="s">
        <v>74</v>
      </c>
      <c r="J9" s="50">
        <v>46232</v>
      </c>
      <c r="K9" s="53">
        <v>46232</v>
      </c>
    </row>
  </sheetData>
  <conditionalFormatting sqref="D2:D2004">
    <cfRule type="expression" dxfId="8" priority="2">
      <formula>$D2="Very Easy"</formula>
    </cfRule>
    <cfRule type="expression" dxfId="7" priority="3">
      <formula>$D2="Easy"</formula>
    </cfRule>
    <cfRule type="expression" dxfId="6" priority="4">
      <formula>$D2="Medium"</formula>
    </cfRule>
    <cfRule type="expression" dxfId="5" priority="5">
      <formula>$D2="Hard"</formula>
    </cfRule>
    <cfRule type="expression" dxfId="4" priority="6">
      <formula>$D2="Extreme Hard"</formula>
    </cfRule>
  </conditionalFormatting>
  <conditionalFormatting sqref="E2:E2004">
    <cfRule type="expression" dxfId="3" priority="7">
      <formula>$E2="Solved"</formula>
    </cfRule>
    <cfRule type="expression" dxfId="2" priority="8">
      <formula>$E2="Revisit"</formula>
    </cfRule>
    <cfRule type="expression" dxfId="1" priority="9">
      <formula>$E2="Stuck"</formula>
    </cfRule>
    <cfRule type="expression" dxfId="0" priority="10">
      <formula>$E2="Todo"</formula>
    </cfRule>
  </conditionalFormatting>
  <dataValidations count="2">
    <dataValidation type="list" allowBlank="1" showErrorMessage="1" errorTitle="Invalid Difficulty" error="Choose: Very Easy / Easy / Medium / Hard / Extreme Hard" sqref="D2:D1010" xr:uid="{00000000-0002-0000-0000-000000000000}">
      <formula1>"Very Easy,Easy,Medium,Hard,Extreme Hard"</formula1>
      <formula2>0</formula2>
    </dataValidation>
    <dataValidation type="list" allowBlank="1" sqref="E2:E1010" xr:uid="{00000000-0002-0000-0000-000001000000}">
      <formula1>"Solved,Revisit,Stuck,Todo"</formula1>
      <formula2>0</formula2>
    </dataValidation>
  </dataValidations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8" r:id="rId6" xr:uid="{E179E83F-6EA3-4307-8C24-997E6F62222C}"/>
  </hyperlinks>
  <pageMargins left="0.75" right="0.75" top="1" bottom="1" header="0.511811023622047" footer="0.511811023622047"/>
  <pageSetup paperSize="9" orientation="portrait" horizontalDpi="300" verticalDpi="300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zoomScaleNormal="100" workbookViewId="0"/>
  </sheetViews>
  <sheetFormatPr defaultColWidth="8.6640625" defaultRowHeight="14.4" x14ac:dyDescent="0.3"/>
  <sheetData>
    <row r="1" spans="1:2" x14ac:dyDescent="0.3">
      <c r="A1" t="s">
        <v>35</v>
      </c>
      <c r="B1" t="s">
        <v>36</v>
      </c>
    </row>
    <row r="2" spans="1:2" x14ac:dyDescent="0.3">
      <c r="A2">
        <f>IF('Raw Data'!A2=""," ",SUMPRODUCT(('Raw Data'!K$2:K$55&gt;'Raw Data'!K2)*('Raw Data'!A$2:A$55&lt;&gt;"")*1)+SUMPRODUCT(('Raw Data'!K$2:K$55='Raw Data'!K2)*(ROW('Raw Data'!K$2:K$55)&lt;ROW('Raw Data'!K2))*('Raw Data'!A$2:A$55&lt;&gt;"")*1)+1)</f>
        <v>5</v>
      </c>
    </row>
    <row r="3" spans="1:2" x14ac:dyDescent="0.3">
      <c r="A3">
        <f>IF('Raw Data'!A3=""," ",SUMPRODUCT(('Raw Data'!K$2:K$55&gt;'Raw Data'!K3)*('Raw Data'!A$2:A$55&lt;&gt;"")*1)+SUMPRODUCT(('Raw Data'!K$2:K$55='Raw Data'!K3)*(ROW('Raw Data'!K$2:K$55)&lt;ROW('Raw Data'!K3))*('Raw Data'!A$2:A$55&lt;&gt;"")*1)+1)</f>
        <v>6</v>
      </c>
    </row>
    <row r="4" spans="1:2" x14ac:dyDescent="0.3">
      <c r="A4">
        <f>IF('Raw Data'!A4=""," ",SUMPRODUCT(('Raw Data'!K$2:K$55&gt;'Raw Data'!K4)*('Raw Data'!A$2:A$55&lt;&gt;"")*1)+SUMPRODUCT(('Raw Data'!K$2:K$55='Raw Data'!K4)*(ROW('Raw Data'!K$2:K$55)&lt;ROW('Raw Data'!K4))*('Raw Data'!A$2:A$55&lt;&gt;"")*1)+1)</f>
        <v>7</v>
      </c>
    </row>
    <row r="5" spans="1:2" x14ac:dyDescent="0.3">
      <c r="A5">
        <f>IF('Raw Data'!A5=""," ",SUMPRODUCT(('Raw Data'!K$2:K$55&gt;'Raw Data'!K5)*('Raw Data'!A$2:A$55&lt;&gt;"")*1)+SUMPRODUCT(('Raw Data'!K$2:K$55='Raw Data'!K5)*(ROW('Raw Data'!K$2:K$55)&lt;ROW('Raw Data'!K5))*('Raw Data'!A$2:A$55&lt;&gt;"")*1)+1)</f>
        <v>8</v>
      </c>
    </row>
    <row r="6" spans="1:2" x14ac:dyDescent="0.3">
      <c r="A6">
        <f>IF('Raw Data'!A6=""," ",SUMPRODUCT(('Raw Data'!K$2:K$55&gt;'Raw Data'!K6)*('Raw Data'!A$2:A$55&lt;&gt;"")*1)+SUMPRODUCT(('Raw Data'!K$2:K$55='Raw Data'!K6)*(ROW('Raw Data'!K$2:K$55)&lt;ROW('Raw Data'!K6))*('Raw Data'!A$2:A$55&lt;&gt;"")*1)+1)</f>
        <v>4</v>
      </c>
    </row>
    <row r="7" spans="1:2" x14ac:dyDescent="0.3">
      <c r="A7">
        <f>IF('Raw Data'!A7=""," ",SUMPRODUCT(('Raw Data'!K$2:K$55&gt;'Raw Data'!K7)*('Raw Data'!A$2:A$55&lt;&gt;"")*1)+SUMPRODUCT(('Raw Data'!K$2:K$55='Raw Data'!K7)*(ROW('Raw Data'!K$2:K$55)&lt;ROW('Raw Data'!K7))*('Raw Data'!A$2:A$55&lt;&gt;"")*1)+1)</f>
        <v>3</v>
      </c>
    </row>
    <row r="8" spans="1:2" x14ac:dyDescent="0.3">
      <c r="A8" t="str">
        <f>IF('Raw Data'!A12=""," ",SUMPRODUCT(('Raw Data'!K$2:K$55&gt;'Raw Data'!K12)*('Raw Data'!A$2:A$55&lt;&gt;"")*1)+SUMPRODUCT(('Raw Data'!K$2:K$55='Raw Data'!K12)*(ROW('Raw Data'!K$2:K$55)&lt;ROW('Raw Data'!K12))*('Raw Data'!A$2:A$55&lt;&gt;"")*1)+1)</f>
        <v xml:space="preserve"> </v>
      </c>
    </row>
    <row r="9" spans="1:2" x14ac:dyDescent="0.3">
      <c r="A9" t="str">
        <f>IF('Raw Data'!A13=""," ",SUMPRODUCT(('Raw Data'!K$2:K$55&gt;'Raw Data'!K13)*('Raw Data'!A$2:A$55&lt;&gt;"")*1)+SUMPRODUCT(('Raw Data'!K$2:K$55='Raw Data'!K13)*(ROW('Raw Data'!K$2:K$55)&lt;ROW('Raw Data'!K13))*('Raw Data'!A$2:A$55&lt;&gt;"")*1)+1)</f>
        <v xml:space="preserve"> </v>
      </c>
    </row>
    <row r="10" spans="1:2" x14ac:dyDescent="0.3">
      <c r="A10" t="str">
        <f>IF('Raw Data'!A14=""," ",SUMPRODUCT(('Raw Data'!K$2:K$55&gt;'Raw Data'!K14)*('Raw Data'!A$2:A$55&lt;&gt;"")*1)+SUMPRODUCT(('Raw Data'!K$2:K$55='Raw Data'!K14)*(ROW('Raw Data'!K$2:K$55)&lt;ROW('Raw Data'!K14))*('Raw Data'!A$2:A$55&lt;&gt;"")*1)+1)</f>
        <v xml:space="preserve"> </v>
      </c>
    </row>
    <row r="11" spans="1:2" x14ac:dyDescent="0.3">
      <c r="A11" t="str">
        <f>IF('Raw Data'!A15=""," ",SUMPRODUCT(('Raw Data'!K$2:K$55&gt;'Raw Data'!K15)*('Raw Data'!A$2:A$55&lt;&gt;"")*1)+SUMPRODUCT(('Raw Data'!K$2:K$55='Raw Data'!K15)*(ROW('Raw Data'!K$2:K$55)&lt;ROW('Raw Data'!K15))*('Raw Data'!A$2:A$55&lt;&gt;"")*1)+1)</f>
        <v xml:space="preserve"> </v>
      </c>
    </row>
    <row r="12" spans="1:2" x14ac:dyDescent="0.3">
      <c r="A12" t="str">
        <f>IF('Raw Data'!A16=""," ",SUMPRODUCT(('Raw Data'!K$2:K$55&gt;'Raw Data'!K16)*('Raw Data'!A$2:A$55&lt;&gt;"")*1)+SUMPRODUCT(('Raw Data'!K$2:K$55='Raw Data'!K16)*(ROW('Raw Data'!K$2:K$55)&lt;ROW('Raw Data'!K16))*('Raw Data'!A$2:A$55&lt;&gt;"")*1)+1)</f>
        <v xml:space="preserve"> </v>
      </c>
    </row>
    <row r="13" spans="1:2" x14ac:dyDescent="0.3">
      <c r="A13" t="str">
        <f>IF('Raw Data'!A17=""," ",SUMPRODUCT(('Raw Data'!K$2:K$55&gt;'Raw Data'!K17)*('Raw Data'!A$2:A$55&lt;&gt;"")*1)+SUMPRODUCT(('Raw Data'!K$2:K$55='Raw Data'!K17)*(ROW('Raw Data'!K$2:K$55)&lt;ROW('Raw Data'!K17))*('Raw Data'!A$2:A$55&lt;&gt;"")*1)+1)</f>
        <v xml:space="preserve"> </v>
      </c>
    </row>
    <row r="14" spans="1:2" x14ac:dyDescent="0.3">
      <c r="A14" t="str">
        <f>IF('Raw Data'!A18=""," ",SUMPRODUCT(('Raw Data'!K$2:K$55&gt;'Raw Data'!K18)*('Raw Data'!A$2:A$55&lt;&gt;"")*1)+SUMPRODUCT(('Raw Data'!K$2:K$55='Raw Data'!K18)*(ROW('Raw Data'!K$2:K$55)&lt;ROW('Raw Data'!K18))*('Raw Data'!A$2:A$55&lt;&gt;"")*1)+1)</f>
        <v xml:space="preserve"> </v>
      </c>
    </row>
    <row r="15" spans="1:2" x14ac:dyDescent="0.3">
      <c r="A15" t="str">
        <f>IF('Raw Data'!A19=""," ",SUMPRODUCT(('Raw Data'!K$2:K$55&gt;'Raw Data'!K19)*('Raw Data'!A$2:A$55&lt;&gt;"")*1)+SUMPRODUCT(('Raw Data'!K$2:K$55='Raw Data'!K19)*(ROW('Raw Data'!K$2:K$55)&lt;ROW('Raw Data'!K19))*('Raw Data'!A$2:A$55&lt;&gt;"")*1)+1)</f>
        <v xml:space="preserve"> </v>
      </c>
    </row>
    <row r="16" spans="1:2" x14ac:dyDescent="0.3">
      <c r="A16" t="str">
        <f>IF('Raw Data'!A20=""," ",SUMPRODUCT(('Raw Data'!K$2:K$55&gt;'Raw Data'!K20)*('Raw Data'!A$2:A$55&lt;&gt;"")*1)+SUMPRODUCT(('Raw Data'!K$2:K$55='Raw Data'!K20)*(ROW('Raw Data'!K$2:K$55)&lt;ROW('Raw Data'!K20))*('Raw Data'!A$2:A$55&lt;&gt;"")*1)+1)</f>
        <v xml:space="preserve"> </v>
      </c>
    </row>
    <row r="17" spans="1:1" x14ac:dyDescent="0.3">
      <c r="A17" t="str">
        <f>IF('Raw Data'!A21=""," ",SUMPRODUCT(('Raw Data'!K$2:K$55&gt;'Raw Data'!K21)*('Raw Data'!A$2:A$55&lt;&gt;"")*1)+SUMPRODUCT(('Raw Data'!K$2:K$55='Raw Data'!K21)*(ROW('Raw Data'!K$2:K$55)&lt;ROW('Raw Data'!K21))*('Raw Data'!A$2:A$55&lt;&gt;"")*1)+1)</f>
        <v xml:space="preserve"> </v>
      </c>
    </row>
    <row r="18" spans="1:1" x14ac:dyDescent="0.3">
      <c r="A18" t="str">
        <f>IF('Raw Data'!A22=""," ",SUMPRODUCT(('Raw Data'!K$2:K$55&gt;'Raw Data'!K22)*('Raw Data'!A$2:A$55&lt;&gt;"")*1)+SUMPRODUCT(('Raw Data'!K$2:K$55='Raw Data'!K22)*(ROW('Raw Data'!K$2:K$55)&lt;ROW('Raw Data'!K22))*('Raw Data'!A$2:A$55&lt;&gt;"")*1)+1)</f>
        <v xml:space="preserve"> </v>
      </c>
    </row>
    <row r="19" spans="1:1" x14ac:dyDescent="0.3">
      <c r="A19" t="str">
        <f>IF('Raw Data'!A23=""," ",SUMPRODUCT(('Raw Data'!K$2:K$55&gt;'Raw Data'!K23)*('Raw Data'!A$2:A$55&lt;&gt;"")*1)+SUMPRODUCT(('Raw Data'!K$2:K$55='Raw Data'!K23)*(ROW('Raw Data'!K$2:K$55)&lt;ROW('Raw Data'!K23))*('Raw Data'!A$2:A$55&lt;&gt;"")*1)+1)</f>
        <v xml:space="preserve"> </v>
      </c>
    </row>
    <row r="20" spans="1:1" x14ac:dyDescent="0.3">
      <c r="A20" t="str">
        <f>IF('Raw Data'!A24=""," ",SUMPRODUCT(('Raw Data'!K$2:K$55&gt;'Raw Data'!K24)*('Raw Data'!A$2:A$55&lt;&gt;"")*1)+SUMPRODUCT(('Raw Data'!K$2:K$55='Raw Data'!K24)*(ROW('Raw Data'!K$2:K$55)&lt;ROW('Raw Data'!K24))*('Raw Data'!A$2:A$55&lt;&gt;"")*1)+1)</f>
        <v xml:space="preserve"> </v>
      </c>
    </row>
    <row r="21" spans="1:1" x14ac:dyDescent="0.3">
      <c r="A21" t="str">
        <f>IF('Raw Data'!A25=""," ",SUMPRODUCT(('Raw Data'!K$2:K$55&gt;'Raw Data'!K25)*('Raw Data'!A$2:A$55&lt;&gt;"")*1)+SUMPRODUCT(('Raw Data'!K$2:K$55='Raw Data'!K25)*(ROW('Raw Data'!K$2:K$55)&lt;ROW('Raw Data'!K25))*('Raw Data'!A$2:A$55&lt;&gt;"")*1)+1)</f>
        <v xml:space="preserve"> </v>
      </c>
    </row>
    <row r="22" spans="1:1" x14ac:dyDescent="0.3">
      <c r="A22" t="str">
        <f>IF('Raw Data'!A26=""," ",SUMPRODUCT(('Raw Data'!K$2:K$55&gt;'Raw Data'!K26)*('Raw Data'!A$2:A$55&lt;&gt;"")*1)+SUMPRODUCT(('Raw Data'!K$2:K$55='Raw Data'!K26)*(ROW('Raw Data'!K$2:K$55)&lt;ROW('Raw Data'!K26))*('Raw Data'!A$2:A$55&lt;&gt;"")*1)+1)</f>
        <v xml:space="preserve"> </v>
      </c>
    </row>
    <row r="23" spans="1:1" x14ac:dyDescent="0.3">
      <c r="A23" t="str">
        <f>IF('Raw Data'!A27=""," ",SUMPRODUCT(('Raw Data'!K$2:K$55&gt;'Raw Data'!K27)*('Raw Data'!A$2:A$55&lt;&gt;"")*1)+SUMPRODUCT(('Raw Data'!K$2:K$55='Raw Data'!K27)*(ROW('Raw Data'!K$2:K$55)&lt;ROW('Raw Data'!K27))*('Raw Data'!A$2:A$55&lt;&gt;"")*1)+1)</f>
        <v xml:space="preserve"> </v>
      </c>
    </row>
    <row r="24" spans="1:1" x14ac:dyDescent="0.3">
      <c r="A24" t="str">
        <f>IF('Raw Data'!A28=""," ",SUMPRODUCT(('Raw Data'!K$2:K$55&gt;'Raw Data'!K28)*('Raw Data'!A$2:A$55&lt;&gt;"")*1)+SUMPRODUCT(('Raw Data'!K$2:K$55='Raw Data'!K28)*(ROW('Raw Data'!K$2:K$55)&lt;ROW('Raw Data'!K28))*('Raw Data'!A$2:A$55&lt;&gt;"")*1)+1)</f>
        <v xml:space="preserve"> </v>
      </c>
    </row>
    <row r="25" spans="1:1" x14ac:dyDescent="0.3">
      <c r="A25" t="str">
        <f>IF('Raw Data'!A29=""," ",SUMPRODUCT(('Raw Data'!K$2:K$55&gt;'Raw Data'!K29)*('Raw Data'!A$2:A$55&lt;&gt;"")*1)+SUMPRODUCT(('Raw Data'!K$2:K$55='Raw Data'!K29)*(ROW('Raw Data'!K$2:K$55)&lt;ROW('Raw Data'!K29))*('Raw Data'!A$2:A$55&lt;&gt;"")*1)+1)</f>
        <v xml:space="preserve"> </v>
      </c>
    </row>
    <row r="26" spans="1:1" x14ac:dyDescent="0.3">
      <c r="A26" t="str">
        <f>IF('Raw Data'!A30=""," ",SUMPRODUCT(('Raw Data'!K$2:K$55&gt;'Raw Data'!K30)*('Raw Data'!A$2:A$55&lt;&gt;"")*1)+SUMPRODUCT(('Raw Data'!K$2:K$55='Raw Data'!K30)*(ROW('Raw Data'!K$2:K$55)&lt;ROW('Raw Data'!K30))*('Raw Data'!A$2:A$55&lt;&gt;"")*1)+1)</f>
        <v xml:space="preserve"> </v>
      </c>
    </row>
    <row r="27" spans="1:1" x14ac:dyDescent="0.3">
      <c r="A27" t="str">
        <f>IF('Raw Data'!A31=""," ",SUMPRODUCT(('Raw Data'!K$2:K$55&gt;'Raw Data'!K31)*('Raw Data'!A$2:A$55&lt;&gt;"")*1)+SUMPRODUCT(('Raw Data'!K$2:K$55='Raw Data'!K31)*(ROW('Raw Data'!K$2:K$55)&lt;ROW('Raw Data'!K31))*('Raw Data'!A$2:A$55&lt;&gt;"")*1)+1)</f>
        <v xml:space="preserve"> </v>
      </c>
    </row>
    <row r="28" spans="1:1" x14ac:dyDescent="0.3">
      <c r="A28" t="str">
        <f>IF('Raw Data'!A32=""," ",SUMPRODUCT(('Raw Data'!K$2:K$55&gt;'Raw Data'!K32)*('Raw Data'!A$2:A$55&lt;&gt;"")*1)+SUMPRODUCT(('Raw Data'!K$2:K$55='Raw Data'!K32)*(ROW('Raw Data'!K$2:K$55)&lt;ROW('Raw Data'!K32))*('Raw Data'!A$2:A$55&lt;&gt;"")*1)+1)</f>
        <v xml:space="preserve"> </v>
      </c>
    </row>
    <row r="29" spans="1:1" x14ac:dyDescent="0.3">
      <c r="A29" t="str">
        <f>IF('Raw Data'!A33=""," ",SUMPRODUCT(('Raw Data'!K$2:K$55&gt;'Raw Data'!K33)*('Raw Data'!A$2:A$55&lt;&gt;"")*1)+SUMPRODUCT(('Raw Data'!K$2:K$55='Raw Data'!K33)*(ROW('Raw Data'!K$2:K$55)&lt;ROW('Raw Data'!K33))*('Raw Data'!A$2:A$55&lt;&gt;"")*1)+1)</f>
        <v xml:space="preserve"> </v>
      </c>
    </row>
    <row r="30" spans="1:1" x14ac:dyDescent="0.3">
      <c r="A30" t="str">
        <f>IF('Raw Data'!A34=""," ",SUMPRODUCT(('Raw Data'!K$2:K$55&gt;'Raw Data'!K34)*('Raw Data'!A$2:A$55&lt;&gt;"")*1)+SUMPRODUCT(('Raw Data'!K$2:K$55='Raw Data'!K34)*(ROW('Raw Data'!K$2:K$55)&lt;ROW('Raw Data'!K34))*('Raw Data'!A$2:A$55&lt;&gt;"")*1)+1)</f>
        <v xml:space="preserve"> </v>
      </c>
    </row>
    <row r="31" spans="1:1" x14ac:dyDescent="0.3">
      <c r="A31" t="str">
        <f>IF('Raw Data'!A35=""," ",SUMPRODUCT(('Raw Data'!K$2:K$55&gt;'Raw Data'!K35)*('Raw Data'!A$2:A$55&lt;&gt;"")*1)+SUMPRODUCT(('Raw Data'!K$2:K$55='Raw Data'!K35)*(ROW('Raw Data'!K$2:K$55)&lt;ROW('Raw Data'!K35))*('Raw Data'!A$2:A$55&lt;&gt;"")*1)+1)</f>
        <v xml:space="preserve"> </v>
      </c>
    </row>
    <row r="32" spans="1:1" x14ac:dyDescent="0.3">
      <c r="A32" t="str">
        <f>IF('Raw Data'!A36=""," ",SUMPRODUCT(('Raw Data'!K$2:K$55&gt;'Raw Data'!K36)*('Raw Data'!A$2:A$55&lt;&gt;"")*1)+SUMPRODUCT(('Raw Data'!K$2:K$55='Raw Data'!K36)*(ROW('Raw Data'!K$2:K$55)&lt;ROW('Raw Data'!K36))*('Raw Data'!A$2:A$55&lt;&gt;"")*1)+1)</f>
        <v xml:space="preserve"> </v>
      </c>
    </row>
    <row r="33" spans="1:1" x14ac:dyDescent="0.3">
      <c r="A33" t="str">
        <f>IF('Raw Data'!A37=""," ",SUMPRODUCT(('Raw Data'!K$2:K$55&gt;'Raw Data'!K37)*('Raw Data'!A$2:A$55&lt;&gt;"")*1)+SUMPRODUCT(('Raw Data'!K$2:K$55='Raw Data'!K37)*(ROW('Raw Data'!K$2:K$55)&lt;ROW('Raw Data'!K37))*('Raw Data'!A$2:A$55&lt;&gt;"")*1)+1)</f>
        <v xml:space="preserve"> </v>
      </c>
    </row>
    <row r="34" spans="1:1" x14ac:dyDescent="0.3">
      <c r="A34" t="str">
        <f>IF('Raw Data'!A38=""," ",SUMPRODUCT(('Raw Data'!K$2:K$55&gt;'Raw Data'!K38)*('Raw Data'!A$2:A$55&lt;&gt;"")*1)+SUMPRODUCT(('Raw Data'!K$2:K$55='Raw Data'!K38)*(ROW('Raw Data'!K$2:K$55)&lt;ROW('Raw Data'!K38))*('Raw Data'!A$2:A$55&lt;&gt;"")*1)+1)</f>
        <v xml:space="preserve"> </v>
      </c>
    </row>
    <row r="35" spans="1:1" x14ac:dyDescent="0.3">
      <c r="A35" t="str">
        <f>IF('Raw Data'!A39=""," ",SUMPRODUCT(('Raw Data'!K$2:K$55&gt;'Raw Data'!K39)*('Raw Data'!A$2:A$55&lt;&gt;"")*1)+SUMPRODUCT(('Raw Data'!K$2:K$55='Raw Data'!K39)*(ROW('Raw Data'!K$2:K$55)&lt;ROW('Raw Data'!K39))*('Raw Data'!A$2:A$55&lt;&gt;"")*1)+1)</f>
        <v xml:space="preserve"> </v>
      </c>
    </row>
    <row r="36" spans="1:1" x14ac:dyDescent="0.3">
      <c r="A36" t="str">
        <f>IF('Raw Data'!A40=""," ",SUMPRODUCT(('Raw Data'!K$2:K$55&gt;'Raw Data'!K40)*('Raw Data'!A$2:A$55&lt;&gt;"")*1)+SUMPRODUCT(('Raw Data'!K$2:K$55='Raw Data'!K40)*(ROW('Raw Data'!K$2:K$55)&lt;ROW('Raw Data'!K40))*('Raw Data'!A$2:A$55&lt;&gt;"")*1)+1)</f>
        <v xml:space="preserve"> </v>
      </c>
    </row>
    <row r="37" spans="1:1" x14ac:dyDescent="0.3">
      <c r="A37" t="str">
        <f>IF('Raw Data'!A41=""," ",SUMPRODUCT(('Raw Data'!K$2:K$55&gt;'Raw Data'!K41)*('Raw Data'!A$2:A$55&lt;&gt;"")*1)+SUMPRODUCT(('Raw Data'!K$2:K$55='Raw Data'!K41)*(ROW('Raw Data'!K$2:K$55)&lt;ROW('Raw Data'!K41))*('Raw Data'!A$2:A$55&lt;&gt;"")*1)+1)</f>
        <v xml:space="preserve"> </v>
      </c>
    </row>
    <row r="38" spans="1:1" x14ac:dyDescent="0.3">
      <c r="A38" t="str">
        <f>IF('Raw Data'!A42=""," ",SUMPRODUCT(('Raw Data'!K$2:K$55&gt;'Raw Data'!K42)*('Raw Data'!A$2:A$55&lt;&gt;"")*1)+SUMPRODUCT(('Raw Data'!K$2:K$55='Raw Data'!K42)*(ROW('Raw Data'!K$2:K$55)&lt;ROW('Raw Data'!K42))*('Raw Data'!A$2:A$55&lt;&gt;"")*1)+1)</f>
        <v xml:space="preserve"> </v>
      </c>
    </row>
    <row r="39" spans="1:1" x14ac:dyDescent="0.3">
      <c r="A39" t="str">
        <f>IF('Raw Data'!A43=""," ",SUMPRODUCT(('Raw Data'!K$2:K$55&gt;'Raw Data'!K43)*('Raw Data'!A$2:A$55&lt;&gt;"")*1)+SUMPRODUCT(('Raw Data'!K$2:K$55='Raw Data'!K43)*(ROW('Raw Data'!K$2:K$55)&lt;ROW('Raw Data'!K43))*('Raw Data'!A$2:A$55&lt;&gt;"")*1)+1)</f>
        <v xml:space="preserve"> </v>
      </c>
    </row>
    <row r="40" spans="1:1" x14ac:dyDescent="0.3">
      <c r="A40" t="str">
        <f>IF('Raw Data'!A44=""," ",SUMPRODUCT(('Raw Data'!K$2:K$55&gt;'Raw Data'!K44)*('Raw Data'!A$2:A$55&lt;&gt;"")*1)+SUMPRODUCT(('Raw Data'!K$2:K$55='Raw Data'!K44)*(ROW('Raw Data'!K$2:K$55)&lt;ROW('Raw Data'!K44))*('Raw Data'!A$2:A$55&lt;&gt;"")*1)+1)</f>
        <v xml:space="preserve"> </v>
      </c>
    </row>
    <row r="41" spans="1:1" x14ac:dyDescent="0.3">
      <c r="A41" t="str">
        <f>IF('Raw Data'!A45=""," ",SUMPRODUCT(('Raw Data'!K$2:K$55&gt;'Raw Data'!K45)*('Raw Data'!A$2:A$55&lt;&gt;"")*1)+SUMPRODUCT(('Raw Data'!K$2:K$55='Raw Data'!K45)*(ROW('Raw Data'!K$2:K$55)&lt;ROW('Raw Data'!K45))*('Raw Data'!A$2:A$55&lt;&gt;"")*1)+1)</f>
        <v xml:space="preserve"> </v>
      </c>
    </row>
    <row r="42" spans="1:1" x14ac:dyDescent="0.3">
      <c r="A42" t="str">
        <f>IF('Raw Data'!A46=""," ",SUMPRODUCT(('Raw Data'!K$2:K$55&gt;'Raw Data'!K46)*('Raw Data'!A$2:A$55&lt;&gt;"")*1)+SUMPRODUCT(('Raw Data'!K$2:K$55='Raw Data'!K46)*(ROW('Raw Data'!K$2:K$55)&lt;ROW('Raw Data'!K46))*('Raw Data'!A$2:A$55&lt;&gt;"")*1)+1)</f>
        <v xml:space="preserve"> </v>
      </c>
    </row>
    <row r="43" spans="1:1" x14ac:dyDescent="0.3">
      <c r="A43" t="str">
        <f>IF('Raw Data'!A47=""," ",SUMPRODUCT(('Raw Data'!K$2:K$55&gt;'Raw Data'!K47)*('Raw Data'!A$2:A$55&lt;&gt;"")*1)+SUMPRODUCT(('Raw Data'!K$2:K$55='Raw Data'!K47)*(ROW('Raw Data'!K$2:K$55)&lt;ROW('Raw Data'!K47))*('Raw Data'!A$2:A$55&lt;&gt;"")*1)+1)</f>
        <v xml:space="preserve"> </v>
      </c>
    </row>
    <row r="44" spans="1:1" x14ac:dyDescent="0.3">
      <c r="A44" t="str">
        <f>IF('Raw Data'!A48=""," ",SUMPRODUCT(('Raw Data'!K$2:K$55&gt;'Raw Data'!K48)*('Raw Data'!A$2:A$55&lt;&gt;"")*1)+SUMPRODUCT(('Raw Data'!K$2:K$55='Raw Data'!K48)*(ROW('Raw Data'!K$2:K$55)&lt;ROW('Raw Data'!K48))*('Raw Data'!A$2:A$55&lt;&gt;"")*1)+1)</f>
        <v xml:space="preserve"> </v>
      </c>
    </row>
    <row r="45" spans="1:1" x14ac:dyDescent="0.3">
      <c r="A45" t="str">
        <f>IF('Raw Data'!A49=""," ",SUMPRODUCT(('Raw Data'!K$2:K$55&gt;'Raw Data'!K49)*('Raw Data'!A$2:A$55&lt;&gt;"")*1)+SUMPRODUCT(('Raw Data'!K$2:K$55='Raw Data'!K49)*(ROW('Raw Data'!K$2:K$55)&lt;ROW('Raw Data'!K49))*('Raw Data'!A$2:A$55&lt;&gt;"")*1)+1)</f>
        <v xml:space="preserve"> </v>
      </c>
    </row>
    <row r="46" spans="1:1" x14ac:dyDescent="0.3">
      <c r="A46" t="str">
        <f>IF('Raw Data'!A50=""," ",SUMPRODUCT(('Raw Data'!K$2:K$55&gt;'Raw Data'!K50)*('Raw Data'!A$2:A$55&lt;&gt;"")*1)+SUMPRODUCT(('Raw Data'!K$2:K$55='Raw Data'!K50)*(ROW('Raw Data'!K$2:K$55)&lt;ROW('Raw Data'!K50))*('Raw Data'!A$2:A$55&lt;&gt;"")*1)+1)</f>
        <v xml:space="preserve"> </v>
      </c>
    </row>
    <row r="47" spans="1:1" x14ac:dyDescent="0.3">
      <c r="A47" t="str">
        <f>IF('Raw Data'!A51=""," ",SUMPRODUCT(('Raw Data'!K$2:K$55&gt;'Raw Data'!K51)*('Raw Data'!A$2:A$55&lt;&gt;"")*1)+SUMPRODUCT(('Raw Data'!K$2:K$55='Raw Data'!K51)*(ROW('Raw Data'!K$2:K$55)&lt;ROW('Raw Data'!K51))*('Raw Data'!A$2:A$55&lt;&gt;"")*1)+1)</f>
        <v xml:space="preserve"> </v>
      </c>
    </row>
    <row r="48" spans="1:1" x14ac:dyDescent="0.3">
      <c r="A48" t="str">
        <f>IF('Raw Data'!A52=""," ",SUMPRODUCT(('Raw Data'!K$2:K$55&gt;'Raw Data'!K52)*('Raw Data'!A$2:A$55&lt;&gt;"")*1)+SUMPRODUCT(('Raw Data'!K$2:K$55='Raw Data'!K52)*(ROW('Raw Data'!K$2:K$55)&lt;ROW('Raw Data'!K52))*('Raw Data'!A$2:A$55&lt;&gt;"")*1)+1)</f>
        <v xml:space="preserve"> </v>
      </c>
    </row>
    <row r="49" spans="1:1" x14ac:dyDescent="0.3">
      <c r="A49" t="str">
        <f>IF('Raw Data'!A53=""," ",SUMPRODUCT(('Raw Data'!K$2:K$55&gt;'Raw Data'!K53)*('Raw Data'!A$2:A$55&lt;&gt;"")*1)+SUMPRODUCT(('Raw Data'!K$2:K$55='Raw Data'!K53)*(ROW('Raw Data'!K$2:K$55)&lt;ROW('Raw Data'!K53))*('Raw Data'!A$2:A$55&lt;&gt;"")*1)+1)</f>
        <v xml:space="preserve"> </v>
      </c>
    </row>
    <row r="50" spans="1:1" x14ac:dyDescent="0.3">
      <c r="A50" t="str">
        <f>IF('Raw Data'!A54=""," ",SUMPRODUCT(('Raw Data'!K$2:K$55&gt;'Raw Data'!K54)*('Raw Data'!A$2:A$55&lt;&gt;"")*1)+SUMPRODUCT(('Raw Data'!K$2:K$55='Raw Data'!K54)*(ROW('Raw Data'!K$2:K$55)&lt;ROW('Raw Data'!K54))*('Raw Data'!A$2:A$55&lt;&gt;"")*1)+1)</f>
        <v xml:space="preserve"> </v>
      </c>
    </row>
    <row r="51" spans="1:1" x14ac:dyDescent="0.3">
      <c r="A51" t="str">
        <f>IF('Raw Data'!A55=""," ",SUMPRODUCT(('Raw Data'!K$2:K$55&gt;'Raw Data'!K55)*('Raw Data'!A$2:A$55&lt;&gt;"")*1)+SUMPRODUCT(('Raw Data'!K$2:K$55='Raw Data'!K55)*(ROW('Raw Data'!K$2:K$55)&lt;ROW('Raw Data'!K55))*('Raw Data'!A$2:A$55&lt;&gt;"")*1)+1)</f>
        <v xml:space="preserve"> 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80ED"/>
  </sheetPr>
  <dimension ref="A1:L64"/>
  <sheetViews>
    <sheetView tabSelected="1" zoomScaleNormal="100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C27" sqref="C27"/>
    </sheetView>
  </sheetViews>
  <sheetFormatPr defaultColWidth="8.6640625" defaultRowHeight="14.4" x14ac:dyDescent="0.3"/>
  <cols>
    <col min="1" max="1" width="2" customWidth="1"/>
    <col min="2" max="2" width="15.77734375" customWidth="1"/>
    <col min="3" max="3" width="26.88671875" customWidth="1"/>
    <col min="4" max="4" width="12.33203125" customWidth="1"/>
    <col min="5" max="5" width="17.44140625" customWidth="1"/>
    <col min="6" max="6" width="20.109375" customWidth="1"/>
    <col min="7" max="7" width="34.77734375" customWidth="1"/>
    <col min="8" max="8" width="11.88671875" customWidth="1"/>
    <col min="9" max="9" width="21.33203125" customWidth="1"/>
    <col min="10" max="10" width="38.33203125" customWidth="1"/>
    <col min="11" max="11" width="25" customWidth="1"/>
    <col min="12" max="12" width="63.109375" customWidth="1"/>
  </cols>
  <sheetData>
    <row r="1" spans="1:12" ht="7.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42" customHeight="1" x14ac:dyDescent="0.3">
      <c r="A2" s="7"/>
      <c r="B2" s="56" t="s">
        <v>37</v>
      </c>
      <c r="C2" s="56"/>
      <c r="D2" s="56"/>
      <c r="E2" s="56"/>
      <c r="F2" s="56"/>
      <c r="G2" s="56"/>
      <c r="H2" s="56"/>
      <c r="I2" s="56"/>
      <c r="J2" s="56"/>
      <c r="K2" s="56"/>
      <c r="L2" s="7"/>
    </row>
    <row r="3" spans="1:12" ht="18" customHeight="1" x14ac:dyDescent="0.3">
      <c r="A3" s="7"/>
      <c r="B3" s="57" t="str">
        <f ca="1">"📅  Data as of: " &amp; TEXT(NOW(), "DD-MMM-YYYY  hh:MM AM/PM")</f>
        <v>📅  Data as of: 27-Jul-2026  05:49 PM</v>
      </c>
      <c r="C3" s="57"/>
      <c r="D3" s="57"/>
      <c r="E3" s="57"/>
      <c r="F3" s="57"/>
      <c r="G3" s="57"/>
      <c r="H3" s="57"/>
      <c r="I3" s="57"/>
      <c r="J3" s="57"/>
      <c r="K3" s="57"/>
      <c r="L3" s="7"/>
    </row>
    <row r="4" spans="1:12" ht="3.75" customHeight="1" x14ac:dyDescent="0.3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7"/>
    </row>
    <row r="5" spans="1:12" ht="15.75" customHeight="1" x14ac:dyDescent="0.3">
      <c r="A5" s="7"/>
      <c r="B5" s="9" t="s">
        <v>38</v>
      </c>
      <c r="C5" s="9" t="s">
        <v>39</v>
      </c>
      <c r="D5" s="9" t="s">
        <v>40</v>
      </c>
      <c r="E5" s="9" t="s">
        <v>41</v>
      </c>
      <c r="F5" s="9" t="s">
        <v>42</v>
      </c>
      <c r="G5" s="9" t="s">
        <v>43</v>
      </c>
      <c r="H5" s="7"/>
      <c r="I5" s="7"/>
      <c r="J5" s="7"/>
      <c r="K5" s="7"/>
      <c r="L5" s="7"/>
    </row>
    <row r="6" spans="1:12" ht="39.75" customHeight="1" x14ac:dyDescent="0.3">
      <c r="A6" s="7"/>
      <c r="B6" s="10">
        <f>COUNTA('Raw Data'!A2:A2004)</f>
        <v>8</v>
      </c>
      <c r="C6" s="11">
        <f>COUNTIF('Raw Data'!E2:E2004,"Solved")</f>
        <v>8</v>
      </c>
      <c r="D6" s="12">
        <f>COUNTIF('Raw Data'!E2:E2004,"Revisit")</f>
        <v>0</v>
      </c>
      <c r="E6" s="13">
        <f>COUNTIF('Raw Data'!E2:E2004,"Stuck")</f>
        <v>0</v>
      </c>
      <c r="F6" s="12">
        <f ca="1">COUNTIF('Raw Data'!K2:K2004,TODAY())</f>
        <v>1</v>
      </c>
      <c r="G6" s="11" t="str">
        <f>IFERROR(TEXT(COUNTIF('Raw Data'!E2:E2004,"Solved")/COUNTA('Raw Data'!A2:A2004),"0%"),"–")</f>
        <v>100%</v>
      </c>
      <c r="H6" s="7"/>
      <c r="I6" s="7"/>
      <c r="J6" s="7"/>
      <c r="K6" s="7"/>
      <c r="L6" s="7"/>
    </row>
    <row r="7" spans="1:12" ht="3.75" customHeight="1" x14ac:dyDescent="0.3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7"/>
    </row>
    <row r="8" spans="1:12" s="25" customFormat="1" ht="21.75" customHeight="1" x14ac:dyDescent="0.3">
      <c r="A8" s="24"/>
      <c r="B8" s="23"/>
      <c r="C8" s="23" t="s">
        <v>44</v>
      </c>
      <c r="D8" s="23"/>
      <c r="E8" s="24"/>
      <c r="F8" s="23"/>
      <c r="G8" s="23" t="s">
        <v>45</v>
      </c>
      <c r="H8" s="24"/>
      <c r="I8" s="24"/>
      <c r="J8" s="23" t="s">
        <v>46</v>
      </c>
      <c r="K8" s="24"/>
      <c r="L8" s="24"/>
    </row>
    <row r="9" spans="1:12" ht="3.75" customHeight="1" x14ac:dyDescent="0.3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7"/>
    </row>
    <row r="10" spans="1:12" ht="19.5" customHeight="1" x14ac:dyDescent="0.3">
      <c r="A10" s="7"/>
      <c r="B10" s="60" t="s">
        <v>30</v>
      </c>
      <c r="C10" s="14">
        <f>COUNTIF('Raw Data'!D2:D2004,"Very Easy")</f>
        <v>2</v>
      </c>
      <c r="D10" s="1" t="str">
        <f>IFERROR(TEXT(COUNTIF('Raw Data'!D2:D2004,"Very Easy")/COUNTA('Raw Data'!A2:A2004),"0%"),"0%")</f>
        <v>25%</v>
      </c>
      <c r="E10" s="7"/>
      <c r="F10" s="60" t="s">
        <v>16</v>
      </c>
      <c r="G10" s="14">
        <f>COUNTIF('Raw Data'!E2:E2004,"Solved")</f>
        <v>8</v>
      </c>
      <c r="H10" s="1" t="str">
        <f>IFERROR(TEXT(COUNTIF('Raw Data'!E2:E2004,"Solved")/COUNTA('Raw Data'!A2:A2004),"0%"),"0%")</f>
        <v>100%</v>
      </c>
      <c r="I10" s="7"/>
      <c r="J10" s="1" t="s">
        <v>14</v>
      </c>
      <c r="K10" s="15">
        <f>COUNTIF('Raw Data'!B2:B2004,"Array")</f>
        <v>8</v>
      </c>
      <c r="L10" s="7"/>
    </row>
    <row r="11" spans="1:12" ht="19.5" customHeight="1" x14ac:dyDescent="0.3">
      <c r="A11" s="7"/>
      <c r="B11" s="61" t="s">
        <v>22</v>
      </c>
      <c r="C11" s="16">
        <f>COUNTIF('Raw Data'!D2:D2004,"Easy")</f>
        <v>3</v>
      </c>
      <c r="D11" s="1" t="str">
        <f>IFERROR(TEXT(COUNTIF('Raw Data'!D2:D2004,"Easy")/COUNTA('Raw Data'!A2:A2004),"0%"),"0%")</f>
        <v>38%</v>
      </c>
      <c r="E11" s="7"/>
      <c r="F11" s="62" t="s">
        <v>47</v>
      </c>
      <c r="G11" s="17">
        <f>COUNTIF('Raw Data'!E2:E2004,"Revisit")</f>
        <v>0</v>
      </c>
      <c r="H11" s="1" t="str">
        <f>IFERROR(TEXT(COUNTIF('Raw Data'!E2:E2004,"Revisit")/COUNTA('Raw Data'!A2:A2004),"0%"),"0%")</f>
        <v>0%</v>
      </c>
      <c r="I11" s="7"/>
      <c r="J11" s="1" t="s">
        <v>48</v>
      </c>
      <c r="K11" s="15">
        <f>COUNTIF('Raw Data'!B2:B2004,"String")</f>
        <v>0</v>
      </c>
      <c r="L11" s="7"/>
    </row>
    <row r="12" spans="1:12" ht="19.5" customHeight="1" x14ac:dyDescent="0.3">
      <c r="A12" s="7"/>
      <c r="B12" s="62" t="s">
        <v>15</v>
      </c>
      <c r="C12" s="17">
        <f>COUNTIF('Raw Data'!D2:D2004,"Medium")</f>
        <v>1</v>
      </c>
      <c r="D12" s="1" t="str">
        <f>IFERROR(TEXT(COUNTIF('Raw Data'!D2:D2004,"Medium")/COUNTA('Raw Data'!A2:A2004),"0%"),"0%")</f>
        <v>13%</v>
      </c>
      <c r="E12" s="7"/>
      <c r="F12" s="63" t="s">
        <v>49</v>
      </c>
      <c r="G12" s="18">
        <f>COUNTIF('Raw Data'!E2:E2004,"Stuck")</f>
        <v>0</v>
      </c>
      <c r="H12" s="1" t="str">
        <f>IFERROR(TEXT(COUNTIF('Raw Data'!E2:E2004,"Stuck")/COUNTA('Raw Data'!A2:A2004),"0%"),"0%")</f>
        <v>0%</v>
      </c>
      <c r="I12" s="7"/>
      <c r="J12" s="1" t="s">
        <v>50</v>
      </c>
      <c r="K12" s="15">
        <f>COUNTIF('Raw Data'!B2:B2004,"LinkedList")</f>
        <v>0</v>
      </c>
      <c r="L12" s="7"/>
    </row>
    <row r="13" spans="1:12" ht="19.5" customHeight="1" x14ac:dyDescent="0.3">
      <c r="A13" s="7"/>
      <c r="B13" s="63" t="s">
        <v>51</v>
      </c>
      <c r="C13" s="18">
        <f>COUNTIF('Raw Data'!D2:D2004,"Hard")</f>
        <v>2</v>
      </c>
      <c r="D13" s="1" t="str">
        <f>IFERROR(TEXT(COUNTIF('Raw Data'!D2:D2004,"Hard")/COUNTA('Raw Data'!A2:A2004),"0%"),"0%")</f>
        <v>25%</v>
      </c>
      <c r="E13" s="7"/>
      <c r="F13" s="65" t="s">
        <v>52</v>
      </c>
      <c r="G13" s="19">
        <f>COUNTIF('Raw Data'!E2:E2004,"Todo")</f>
        <v>0</v>
      </c>
      <c r="H13" s="1" t="str">
        <f>IFERROR(TEXT(COUNTIF('Raw Data'!E2:E2004,"Todo")/COUNTA('Raw Data'!A2:A2004),"0%"),"0%")</f>
        <v>0%</v>
      </c>
      <c r="I13" s="7"/>
      <c r="J13" s="1" t="s">
        <v>53</v>
      </c>
      <c r="K13" s="15">
        <f>COUNTIF('Raw Data'!B2:B2004,"Tree")</f>
        <v>0</v>
      </c>
      <c r="L13" s="7"/>
    </row>
    <row r="14" spans="1:12" ht="19.5" customHeight="1" x14ac:dyDescent="0.3">
      <c r="A14" s="7"/>
      <c r="B14" s="64" t="s">
        <v>54</v>
      </c>
      <c r="C14" s="20">
        <f>COUNTIF('Raw Data'!D2:D2004,"Extreme Hard")</f>
        <v>0</v>
      </c>
      <c r="D14" s="1" t="str">
        <f>IFERROR(TEXT(COUNTIF('Raw Data'!D2:D2004,"Extreme Hard")/COUNTA('Raw Data'!A2:A2004),"0%"),"0%")</f>
        <v>0%</v>
      </c>
      <c r="E14" s="7"/>
      <c r="F14" s="7"/>
      <c r="G14" s="7"/>
      <c r="H14" s="7"/>
      <c r="I14" s="7"/>
      <c r="J14" s="1" t="s">
        <v>55</v>
      </c>
      <c r="K14" s="15">
        <f>COUNTIF('Raw Data'!B2:B2004,"Graph")</f>
        <v>0</v>
      </c>
      <c r="L14" s="7"/>
    </row>
    <row r="15" spans="1:12" ht="19.5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1" t="s">
        <v>56</v>
      </c>
      <c r="K15" s="15">
        <f>COUNTIF('Raw Data'!B2:B2004,"DP")</f>
        <v>0</v>
      </c>
      <c r="L15" s="7"/>
    </row>
    <row r="16" spans="1:12" ht="17.399999999999999" customHeight="1" x14ac:dyDescent="0.3">
      <c r="A16" s="7"/>
      <c r="B16" s="8"/>
      <c r="C16" s="8"/>
      <c r="D16" s="8"/>
      <c r="E16" s="8"/>
      <c r="F16" s="8"/>
      <c r="G16" s="8"/>
      <c r="H16" s="8"/>
      <c r="I16" s="8"/>
      <c r="J16" s="22" t="s">
        <v>57</v>
      </c>
      <c r="K16" s="21">
        <f>COUNTIF('Raw Data'!B2:B2004,"Sorting")</f>
        <v>0</v>
      </c>
      <c r="L16" s="7"/>
    </row>
    <row r="17" spans="1:12" ht="21.75" customHeight="1" x14ac:dyDescent="0.3">
      <c r="A17" s="7"/>
      <c r="B17" s="58" t="s">
        <v>58</v>
      </c>
      <c r="C17" s="58"/>
      <c r="D17" s="58"/>
      <c r="E17" s="58"/>
      <c r="F17" s="58"/>
      <c r="G17" s="58"/>
      <c r="H17" s="58"/>
      <c r="I17" s="58"/>
      <c r="J17" s="58"/>
      <c r="K17" s="58"/>
      <c r="L17" s="7"/>
    </row>
    <row r="18" spans="1:12" s="32" customFormat="1" ht="21.75" customHeight="1" x14ac:dyDescent="0.3">
      <c r="A18" s="30"/>
      <c r="B18" s="31" t="s">
        <v>0</v>
      </c>
      <c r="C18" s="31" t="s">
        <v>1</v>
      </c>
      <c r="D18" s="31" t="s">
        <v>59</v>
      </c>
      <c r="E18" s="31" t="s">
        <v>4</v>
      </c>
      <c r="F18" s="31" t="s">
        <v>5</v>
      </c>
      <c r="G18" s="31" t="s">
        <v>6</v>
      </c>
      <c r="H18" s="31" t="s">
        <v>7</v>
      </c>
      <c r="I18" s="31" t="s">
        <v>11</v>
      </c>
      <c r="J18" s="31" t="s">
        <v>60</v>
      </c>
      <c r="K18" s="31" t="s">
        <v>61</v>
      </c>
      <c r="L18" s="30"/>
    </row>
    <row r="19" spans="1:12" s="32" customFormat="1" ht="21.75" customHeight="1" x14ac:dyDescent="0.3">
      <c r="A19" s="30"/>
      <c r="B19" s="33">
        <v>1</v>
      </c>
      <c r="C19" s="34" t="str">
        <f>IFERROR(INDEX('Raw Data'!$A$2:$A$55,MATCH(1,_SORTED!$A$2:$A$51,0)),"")</f>
        <v/>
      </c>
      <c r="D19" s="35" t="str">
        <f>IFERROR(INDEX('Raw Data'!$B$2:$B$55,MATCH(1,_SORTED!$A$2:$A$51,0)),"")</f>
        <v/>
      </c>
      <c r="E19" s="36" t="str">
        <f>IFERROR(INDEX('Raw Data'!$D$2:$D$55,MATCH(1,_SORTED!$A$2:$A$51,0)),"")</f>
        <v/>
      </c>
      <c r="F19" s="37" t="str">
        <f>IFERROR(INDEX('Raw Data'!$E$2:$E$55,MATCH(1,_SORTED!$A$2:$A$51,0)),"")</f>
        <v/>
      </c>
      <c r="G19" s="35" t="str">
        <f>IFERROR(INDEX('Raw Data'!$F$2:$F$55,MATCH(1,_SORTED!$A$2:$A$51,0)),"")</f>
        <v/>
      </c>
      <c r="H19" s="35" t="str">
        <f>IFERROR(INDEX('Raw Data'!$G$2:$G$55,MATCH(1,_SORTED!$A$2:$A$51,0)),"")</f>
        <v/>
      </c>
      <c r="I19" s="15" t="str">
        <f>IFERROR(TEXT(INDEX('Raw Data'!$K$2:$K$55,MATCH(1,_SORTED!$A$2:$A$51,0)),"DD-MMM-YYYY"),"")</f>
        <v/>
      </c>
      <c r="J19" s="38" t="str">
        <f>IFERROR(INDEX('Raw Data'!$H$2:$H$55,MATCH(1,_SORTED!$A$2:$A$51,0)),"")</f>
        <v/>
      </c>
      <c r="K19" s="39" t="str">
        <f>IFERROR(INDEX('Raw Data'!$I$2:$I$55,MATCH(1,_SORTED!$A$2:$A$51,0)),"")</f>
        <v/>
      </c>
      <c r="L19" s="30"/>
    </row>
    <row r="20" spans="1:12" s="32" customFormat="1" ht="21.75" customHeight="1" x14ac:dyDescent="0.3">
      <c r="A20" s="30"/>
      <c r="B20" s="40">
        <v>2</v>
      </c>
      <c r="C20" s="41" t="str">
        <f>IFERROR(INDEX('Raw Data'!$A$2:$A$55,MATCH(2,_SORTED!$A$2:$A$51,0)),"")</f>
        <v/>
      </c>
      <c r="D20" s="42" t="str">
        <f>IFERROR(INDEX('Raw Data'!$B$2:$B$55,MATCH(2,_SORTED!$A$2:$A$51,0)),"")</f>
        <v/>
      </c>
      <c r="E20" s="43" t="str">
        <f>IFERROR(INDEX('Raw Data'!$D$2:$D$55,MATCH(2,_SORTED!$A$2:$A$51,0)),"")</f>
        <v/>
      </c>
      <c r="F20" s="44" t="str">
        <f>IFERROR(INDEX('Raw Data'!$E$2:$E$55,MATCH(2,_SORTED!$A$2:$A$51,0)),"")</f>
        <v/>
      </c>
      <c r="G20" s="42" t="str">
        <f>IFERROR(INDEX('Raw Data'!$F$2:$F$55,MATCH(2,_SORTED!$A$2:$A$51,0)),"")</f>
        <v/>
      </c>
      <c r="H20" s="42" t="str">
        <f>IFERROR(INDEX('Raw Data'!$G$2:$G$55,MATCH(2,_SORTED!$A$2:$A$51,0)),"")</f>
        <v/>
      </c>
      <c r="I20" s="45" t="str">
        <f>IFERROR(TEXT(INDEX('Raw Data'!$K$2:$K$55,MATCH(2,_SORTED!$A$2:$A$51,0)),"DD-MMM-YYYY"),"")</f>
        <v/>
      </c>
      <c r="J20" s="46" t="str">
        <f>IFERROR(INDEX('Raw Data'!$H$2:$H$55,MATCH(2,_SORTED!$A$2:$A$51,0)),"")</f>
        <v/>
      </c>
      <c r="K20" s="47" t="str">
        <f>IFERROR(INDEX('Raw Data'!$I$2:$I$55,MATCH(2,_SORTED!$A$2:$A$51,0)),"")</f>
        <v/>
      </c>
      <c r="L20" s="30"/>
    </row>
    <row r="21" spans="1:12" s="32" customFormat="1" ht="21.75" customHeight="1" x14ac:dyDescent="0.3">
      <c r="A21" s="30"/>
      <c r="B21" s="33">
        <v>3</v>
      </c>
      <c r="C21" s="34" t="str">
        <f>IFERROR(INDEX('Raw Data'!$A$2:$A$55,MATCH(3,_SORTED!$A$2:$A$51,0)),"")</f>
        <v>Max Palindrome in a Word</v>
      </c>
      <c r="D21" s="35" t="str">
        <f>IFERROR(INDEX('Raw Data'!$B$2:$B$55,MATCH(3,_SORTED!$A$2:$A$51,0)),"")</f>
        <v>Array</v>
      </c>
      <c r="E21" s="36" t="str">
        <f>IFERROR(INDEX('Raw Data'!$D$2:$D$55,MATCH(3,_SORTED!$A$2:$A$51,0)),"")</f>
        <v>Hard</v>
      </c>
      <c r="F21" s="37" t="str">
        <f>IFERROR(INDEX('Raw Data'!$E$2:$E$55,MATCH(3,_SORTED!$A$2:$A$51,0)),"")</f>
        <v>Solved</v>
      </c>
      <c r="G21" s="35" t="str">
        <f>IFERROR(INDEX('Raw Data'!$F$2:$F$55,MATCH(3,_SORTED!$A$2:$A$51,0)),"")</f>
        <v>O(n3)</v>
      </c>
      <c r="H21" s="35" t="str">
        <f>IFERROR(INDEX('Raw Data'!$G$2:$G$55,MATCH(3,_SORTED!$A$2:$A$51,0)),"")</f>
        <v>O(n)</v>
      </c>
      <c r="I21" s="15" t="str">
        <f>IFERROR(TEXT(INDEX('Raw Data'!$K$2:$K$55,MATCH(3,_SORTED!$A$2:$A$51,0)),"DD-MMM-YYYY"),"")</f>
        <v>28-Jul-2026</v>
      </c>
      <c r="J21" s="38" t="str">
        <f>IFERROR(INDEX('Raw Data'!$H$2:$H$55,MATCH(3,_SORTED!$A$2:$A$51,0)),"")</f>
        <v>Use Hashmap to store value &lt;String,Integer&gt; ,int max=0, use 2 for(i=max to n-1 ) , and (j= i+1 to n) loop and inside call paindrome, use condition if(j-i+1 &gt; max &amp;&amp; isPalindrome(string, map) . Put ans=str;max=j-i+1; and return ans finally</v>
      </c>
      <c r="K21" s="39" t="str">
        <f>IFERROR(INDEX('Raw Data'!$I$2:$I$55,MATCH(3,_SORTED!$A$2:$A$51,0)),"")</f>
        <v>https://leetcode.com/problems/longest-palindromic-substring/submissions/2082790584/</v>
      </c>
      <c r="L21" s="30"/>
    </row>
    <row r="22" spans="1:12" s="32" customFormat="1" ht="21.75" customHeight="1" x14ac:dyDescent="0.3">
      <c r="A22" s="30"/>
      <c r="B22" s="40">
        <v>4</v>
      </c>
      <c r="C22" s="41" t="str">
        <f>IFERROR(INDEX('Raw Data'!$A$2:$A$55,MATCH(4,_SORTED!$A$2:$A$51,0)),"")</f>
        <v>Array Manipulation / Count matching String</v>
      </c>
      <c r="D22" s="42" t="str">
        <f>IFERROR(INDEX('Raw Data'!$B$2:$B$55,MATCH(4,_SORTED!$A$2:$A$51,0)),"")</f>
        <v>Array</v>
      </c>
      <c r="E22" s="43" t="str">
        <f>IFERROR(INDEX('Raw Data'!$D$2:$D$55,MATCH(4,_SORTED!$A$2:$A$51,0)),"")</f>
        <v>Easy</v>
      </c>
      <c r="F22" s="44" t="str">
        <f>IFERROR(INDEX('Raw Data'!$E$2:$E$55,MATCH(4,_SORTED!$A$2:$A$51,0)),"")</f>
        <v>Solved</v>
      </c>
      <c r="G22" s="42" t="str">
        <f>IFERROR(INDEX('Raw Data'!$F$2:$F$55,MATCH(4,_SORTED!$A$2:$A$51,0)),"")</f>
        <v>O(n²)</v>
      </c>
      <c r="H22" s="42" t="str">
        <f>IFERROR(INDEX('Raw Data'!$G$2:$G$55,MATCH(4,_SORTED!$A$2:$A$51,0)),"")</f>
        <v>O(n)</v>
      </c>
      <c r="I22" s="45" t="str">
        <f>IFERROR(TEXT(INDEX('Raw Data'!$K$2:$K$55,MATCH(4,_SORTED!$A$2:$A$51,0)),"DD-MMM-YYYY"),"")</f>
        <v>27-Jul-2026</v>
      </c>
      <c r="J22" s="46" t="str">
        <f>IFERROR(INDEX('Raw Data'!$H$2:$H$55,MATCH(4,_SORTED!$A$2:$A$51,0)),"")</f>
        <v>For all word of array, check if input[i] contains string[i], if yes count++</v>
      </c>
      <c r="K22" s="47" t="str">
        <f>IFERROR(INDEX('Raw Data'!$I$2:$I$55,MATCH(4,_SORTED!$A$2:$A$51,0)),"")</f>
        <v>https://www.hackerrank.com/challenges/sparse-arrays/submissions/code/478220911</v>
      </c>
      <c r="L22" s="30"/>
    </row>
    <row r="23" spans="1:12" s="32" customFormat="1" ht="21.75" customHeight="1" x14ac:dyDescent="0.3">
      <c r="A23" s="30"/>
      <c r="B23" s="33">
        <v>5</v>
      </c>
      <c r="C23" s="34" t="str">
        <f>IFERROR(INDEX('Raw Data'!$A$2:$A$55,MATCH(5,_SORTED!$A$2:$A$51,0)),"")</f>
        <v>Maximum Product of Three Numbers</v>
      </c>
      <c r="D23" s="35" t="str">
        <f>IFERROR(INDEX('Raw Data'!$B$2:$B$55,MATCH(5,_SORTED!$A$2:$A$51,0)),"")</f>
        <v>Array</v>
      </c>
      <c r="E23" s="36" t="str">
        <f>IFERROR(INDEX('Raw Data'!$D$2:$D$55,MATCH(5,_SORTED!$A$2:$A$51,0)),"")</f>
        <v>Medium</v>
      </c>
      <c r="F23" s="37" t="str">
        <f>IFERROR(INDEX('Raw Data'!$E$2:$E$55,MATCH(5,_SORTED!$A$2:$A$51,0)),"")</f>
        <v>Solved</v>
      </c>
      <c r="G23" s="35" t="str">
        <f>IFERROR(INDEX('Raw Data'!$F$2:$F$55,MATCH(5,_SORTED!$A$2:$A$51,0)),"")</f>
        <v>O(log n)</v>
      </c>
      <c r="H23" s="35" t="str">
        <f>IFERROR(INDEX('Raw Data'!$G$2:$G$55,MATCH(5,_SORTED!$A$2:$A$51,0)),"")</f>
        <v>O(1)</v>
      </c>
      <c r="I23" s="15" t="str">
        <f>IFERROR(TEXT(INDEX('Raw Data'!$K$2:$K$55,MATCH(5,_SORTED!$A$2:$A$51,0)),"DD-MMM-YYYY"),"")</f>
        <v>26-Jul-2026</v>
      </c>
      <c r="J23" s="38" t="str">
        <f>IFERROR(INDEX('Raw Data'!$H$2:$H$55,MATCH(5,_SORTED!$A$2:$A$51,0)),"")</f>
        <v>Sort array ascending. Max product = last 3 elements OR first 2 × last (negatives). Take max of both.</v>
      </c>
      <c r="K23" s="39" t="str">
        <f>IFERROR(INDEX('Raw Data'!$I$2:$I$55,MATCH(5,_SORTED!$A$2:$A$51,0)),"")</f>
        <v>https://leetcode.com/problems/maximum-product-of-three-numbers/description/</v>
      </c>
      <c r="L23" s="30"/>
    </row>
    <row r="24" spans="1:12" s="32" customFormat="1" ht="21.75" customHeight="1" x14ac:dyDescent="0.3">
      <c r="A24" s="30"/>
      <c r="B24" s="40">
        <v>6</v>
      </c>
      <c r="C24" s="41" t="str">
        <f>IFERROR(INDEX('Raw Data'!$A$2:$A$55,MATCH(6,_SORTED!$A$2:$A$51,0)),"")</f>
        <v>Reverse content of array</v>
      </c>
      <c r="D24" s="42" t="str">
        <f>IFERROR(INDEX('Raw Data'!$B$2:$B$55,MATCH(6,_SORTED!$A$2:$A$51,0)),"")</f>
        <v>Array</v>
      </c>
      <c r="E24" s="43" t="str">
        <f>IFERROR(INDEX('Raw Data'!$D$2:$D$55,MATCH(6,_SORTED!$A$2:$A$51,0)),"")</f>
        <v>Easy</v>
      </c>
      <c r="F24" s="44" t="str">
        <f>IFERROR(INDEX('Raw Data'!$E$2:$E$55,MATCH(6,_SORTED!$A$2:$A$51,0)),"")</f>
        <v>Solved</v>
      </c>
      <c r="G24" s="42" t="str">
        <f>IFERROR(INDEX('Raw Data'!$F$2:$F$55,MATCH(6,_SORTED!$A$2:$A$51,0)),"")</f>
        <v>O(n)</v>
      </c>
      <c r="H24" s="42" t="str">
        <f>IFERROR(INDEX('Raw Data'!$G$2:$G$55,MATCH(6,_SORTED!$A$2:$A$51,0)),"")</f>
        <v>O(n)</v>
      </c>
      <c r="I24" s="45" t="str">
        <f>IFERROR(TEXT(INDEX('Raw Data'!$K$2:$K$55,MATCH(6,_SORTED!$A$2:$A$51,0)),"DD-MMM-YYYY"),"")</f>
        <v>26-Jul-2026</v>
      </c>
      <c r="J24" s="46" t="str">
        <f>IFERROR(INDEX('Raw Data'!$H$2:$H$55,MATCH(6,_SORTED!$A$2:$A$51,0)),"")</f>
        <v>Make ArrayList, add from matrix backwards.</v>
      </c>
      <c r="K24" s="47" t="str">
        <f>IFERROR(INDEX('Raw Data'!$I$2:$I$55,MATCH(6,_SORTED!$A$2:$A$51,0)),"")</f>
        <v>https://www.hackerrank.com/challenges/arrays-ds/submissions/code/478215640</v>
      </c>
      <c r="L24" s="30"/>
    </row>
    <row r="25" spans="1:12" s="32" customFormat="1" ht="21.75" customHeight="1" x14ac:dyDescent="0.3">
      <c r="A25" s="30"/>
      <c r="B25" s="33">
        <v>7</v>
      </c>
      <c r="C25" s="34" t="str">
        <f>IFERROR(INDEX('Raw Data'!$A$2:$A$55,MATCH(7,_SORTED!$A$2:$A$51,0)),"")</f>
        <v>Hour Glass Sum</v>
      </c>
      <c r="D25" s="35" t="str">
        <f>IFERROR(INDEX('Raw Data'!$B$2:$B$55,MATCH(7,_SORTED!$A$2:$A$51,0)),"")</f>
        <v>Array</v>
      </c>
      <c r="E25" s="36" t="str">
        <f>IFERROR(INDEX('Raw Data'!$D$2:$D$55,MATCH(7,_SORTED!$A$2:$A$51,0)),"")</f>
        <v>Easy</v>
      </c>
      <c r="F25" s="37" t="str">
        <f>IFERROR(INDEX('Raw Data'!$E$2:$E$55,MATCH(7,_SORTED!$A$2:$A$51,0)),"")</f>
        <v>Solved</v>
      </c>
      <c r="G25" s="35" t="str">
        <f>IFERROR(INDEX('Raw Data'!$F$2:$F$55,MATCH(7,_SORTED!$A$2:$A$51,0)),"")</f>
        <v>O(n)</v>
      </c>
      <c r="H25" s="35" t="str">
        <f>IFERROR(INDEX('Raw Data'!$G$2:$G$55,MATCH(7,_SORTED!$A$2:$A$51,0)),"")</f>
        <v>O(1)</v>
      </c>
      <c r="I25" s="15" t="str">
        <f>IFERROR(TEXT(INDEX('Raw Data'!$K$2:$K$55,MATCH(7,_SORTED!$A$2:$A$51,0)),"DD-MMM-YYYY"),"")</f>
        <v>26-Jul-2026</v>
      </c>
      <c r="J25" s="38" t="str">
        <f>IFERROR(INDEX('Raw Data'!$H$2:$H$55,MATCH(7,_SORTED!$A$2:$A$51,0)),"")</f>
        <v>Loop for each 3×3 sub-matrix, calculate sum manually. Return maximum.</v>
      </c>
      <c r="K25" s="39" t="str">
        <f>IFERROR(INDEX('Raw Data'!$I$2:$I$55,MATCH(7,_SORTED!$A$2:$A$51,0)),"")</f>
        <v>https://www.hackerrank.com/challenges/2d-array/submissions/code/478217759</v>
      </c>
      <c r="L25" s="30"/>
    </row>
    <row r="26" spans="1:12" s="32" customFormat="1" ht="21.75" customHeight="1" x14ac:dyDescent="0.3">
      <c r="A26" s="30"/>
      <c r="B26" s="40">
        <v>8</v>
      </c>
      <c r="C26" s="41" t="str">
        <f>IFERROR(INDEX('Raw Data'!$A$2:$A$55,MATCH(8,_SORTED!$A$2:$A$51,0)),"")</f>
        <v>Matrix Left Rotation</v>
      </c>
      <c r="D26" s="42" t="str">
        <f>IFERROR(INDEX('Raw Data'!$B$2:$B$55,MATCH(8,_SORTED!$A$2:$A$51,0)),"")</f>
        <v>Array</v>
      </c>
      <c r="E26" s="43" t="str">
        <f>IFERROR(INDEX('Raw Data'!$D$2:$D$55,MATCH(8,_SORTED!$A$2:$A$51,0)),"")</f>
        <v>Very Easy</v>
      </c>
      <c r="F26" s="44" t="str">
        <f>IFERROR(INDEX('Raw Data'!$E$2:$E$55,MATCH(8,_SORTED!$A$2:$A$51,0)),"")</f>
        <v>Solved</v>
      </c>
      <c r="G26" s="42" t="str">
        <f>IFERROR(INDEX('Raw Data'!$F$2:$F$55,MATCH(8,_SORTED!$A$2:$A$51,0)),"")</f>
        <v>O(n)</v>
      </c>
      <c r="H26" s="42" t="str">
        <f>IFERROR(INDEX('Raw Data'!$G$2:$G$55,MATCH(8,_SORTED!$A$2:$A$51,0)),"")</f>
        <v>O(n)</v>
      </c>
      <c r="I26" s="45" t="str">
        <f>IFERROR(TEXT(INDEX('Raw Data'!$K$2:$K$55,MATCH(8,_SORTED!$A$2:$A$51,0)),"DD-MMM-YYYY"),"")</f>
        <v>26-Jul-2026</v>
      </c>
      <c r="J26" s="46" t="str">
        <f>IFERROR(INDEX('Raw Data'!$H$2:$H$55,MATCH(8,_SORTED!$A$2:$A$51,0)),"")</f>
        <v>ans.add(i, arr.get((len+i+d)%len)) inside loop.</v>
      </c>
      <c r="K26" s="47" t="str">
        <f>IFERROR(INDEX('Raw Data'!$I$2:$I$55,MATCH(8,_SORTED!$A$2:$A$51,0)),"")</f>
        <v>https://www.hackerrank.com/challenges/array-left-rotation/submissions/code/478219364</v>
      </c>
      <c r="L26" s="30"/>
    </row>
    <row r="27" spans="1:12" s="32" customFormat="1" ht="21.75" customHeight="1" x14ac:dyDescent="0.3">
      <c r="A27" s="30"/>
      <c r="B27" s="33">
        <v>9</v>
      </c>
      <c r="C27" s="34" t="str">
        <f>IFERROR(INDEX('Raw Data'!$A$2:$A$55,MATCH(9,_SORTED!$A$2:$A$51,0)),"")</f>
        <v/>
      </c>
      <c r="D27" s="35" t="str">
        <f>IFERROR(INDEX('Raw Data'!$B$2:$B$55,MATCH(9,_SORTED!$A$2:$A$51,0)),"")</f>
        <v/>
      </c>
      <c r="E27" s="36" t="str">
        <f>IFERROR(INDEX('Raw Data'!$D$2:$D$55,MATCH(9,_SORTED!$A$2:$A$51,0)),"")</f>
        <v/>
      </c>
      <c r="F27" s="37" t="str">
        <f>IFERROR(INDEX('Raw Data'!$E$2:$E$55,MATCH(9,_SORTED!$A$2:$A$51,0)),"")</f>
        <v/>
      </c>
      <c r="G27" s="35" t="str">
        <f>IFERROR(INDEX('Raw Data'!$F$2:$F$55,MATCH(9,_SORTED!$A$2:$A$51,0)),"")</f>
        <v/>
      </c>
      <c r="H27" s="35" t="str">
        <f>IFERROR(INDEX('Raw Data'!$G$2:$G$55,MATCH(9,_SORTED!$A$2:$A$51,0)),"")</f>
        <v/>
      </c>
      <c r="I27" s="15" t="str">
        <f>IFERROR(TEXT(INDEX('Raw Data'!$K$2:$K$55,MATCH(9,_SORTED!$A$2:$A$51,0)),"DD-MMM-YYYY"),"")</f>
        <v/>
      </c>
      <c r="J27" s="38" t="str">
        <f>IFERROR(INDEX('Raw Data'!$H$2:$H$55,MATCH(9,_SORTED!$A$2:$A$51,0)),"")</f>
        <v/>
      </c>
      <c r="K27" s="39" t="str">
        <f>IFERROR(INDEX('Raw Data'!$I$2:$I$55,MATCH(9,_SORTED!$A$2:$A$51,0)),"")</f>
        <v/>
      </c>
      <c r="L27" s="30"/>
    </row>
    <row r="28" spans="1:12" s="32" customFormat="1" ht="21.75" customHeight="1" x14ac:dyDescent="0.3">
      <c r="A28" s="30"/>
      <c r="B28" s="40">
        <v>10</v>
      </c>
      <c r="C28" s="41" t="str">
        <f>IFERROR(INDEX('Raw Data'!$A$2:$A$55,MATCH(10,_SORTED!$A$2:$A$51,0)),"")</f>
        <v/>
      </c>
      <c r="D28" s="42" t="str">
        <f>IFERROR(INDEX('Raw Data'!$B$2:$B$55,MATCH(10,_SORTED!$A$2:$A$51,0)),"")</f>
        <v/>
      </c>
      <c r="E28" s="43" t="str">
        <f>IFERROR(INDEX('Raw Data'!$D$2:$D$55,MATCH(10,_SORTED!$A$2:$A$51,0)),"")</f>
        <v/>
      </c>
      <c r="F28" s="44" t="str">
        <f>IFERROR(INDEX('Raw Data'!$E$2:$E$55,MATCH(10,_SORTED!$A$2:$A$51,0)),"")</f>
        <v/>
      </c>
      <c r="G28" s="42" t="str">
        <f>IFERROR(INDEX('Raw Data'!$F$2:$F$55,MATCH(10,_SORTED!$A$2:$A$51,0)),"")</f>
        <v/>
      </c>
      <c r="H28" s="42" t="str">
        <f>IFERROR(INDEX('Raw Data'!$G$2:$G$55,MATCH(10,_SORTED!$A$2:$A$51,0)),"")</f>
        <v/>
      </c>
      <c r="I28" s="45" t="str">
        <f>IFERROR(TEXT(INDEX('Raw Data'!$K$2:$K$55,MATCH(10,_SORTED!$A$2:$A$51,0)),"DD-MMM-YYYY"),"")</f>
        <v/>
      </c>
      <c r="J28" s="46" t="str">
        <f>IFERROR(INDEX('Raw Data'!$H$2:$H$55,MATCH(10,_SORTED!$A$2:$A$51,0)),"")</f>
        <v/>
      </c>
      <c r="K28" s="47" t="str">
        <f>IFERROR(INDEX('Raw Data'!$I$2:$I$55,MATCH(10,_SORTED!$A$2:$A$51,0)),"")</f>
        <v/>
      </c>
      <c r="L28" s="30"/>
    </row>
    <row r="29" spans="1:12" ht="19.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3.75" customHeight="1" x14ac:dyDescent="0.3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7"/>
    </row>
    <row r="31" spans="1:12" ht="18" customHeight="1" x14ac:dyDescent="0.3">
      <c r="A31" s="7"/>
      <c r="B31" s="59" t="s">
        <v>62</v>
      </c>
      <c r="C31" s="59"/>
      <c r="D31" s="59"/>
      <c r="E31" s="59"/>
      <c r="F31" s="59"/>
      <c r="G31" s="59"/>
      <c r="H31" s="59"/>
      <c r="I31" s="59"/>
      <c r="J31" s="59"/>
      <c r="K31" s="59"/>
      <c r="L31" s="7"/>
    </row>
    <row r="32" spans="1:12" ht="19.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ht="19.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ht="19.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ht="19.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ht="19.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19.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19.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19.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19.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ht="19.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ht="19.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ht="19.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19.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19.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19.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19.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19.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ht="19.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2" ht="19.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ht="19.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ht="19.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ht="19.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19.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ht="19.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 ht="19.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 ht="19.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ht="19.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ht="19.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ht="19.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ht="19.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</sheetData>
  <mergeCells count="4">
    <mergeCell ref="B2:K2"/>
    <mergeCell ref="B3:K3"/>
    <mergeCell ref="B17:K17"/>
    <mergeCell ref="B31:K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_SORTED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Manish Kumar</cp:lastModifiedBy>
  <cp:revision>0</cp:revision>
  <dcterms:created xsi:type="dcterms:W3CDTF">2026-07-26T19:14:18Z</dcterms:created>
  <dcterms:modified xsi:type="dcterms:W3CDTF">2026-07-27T12:20:20Z</dcterms:modified>
  <dc:language>en-US</dc:language>
</cp:coreProperties>
</file>