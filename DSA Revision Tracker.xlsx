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ANISH\Desktop\DSA-Practice-Problem\"/>
    </mc:Choice>
  </mc:AlternateContent>
  <xr:revisionPtr revIDLastSave="0" documentId="8_{122FCEC2-597B-48E2-9A25-3EA9A8C6DA8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aw Data" sheetId="1" r:id="rId1"/>
    <sheet name="Dashboar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2" l="1"/>
  <c r="B11" i="2"/>
  <c r="B10" i="2"/>
  <c r="B9" i="2"/>
  <c r="B8" i="2"/>
  <c r="E4" i="2"/>
  <c r="D4" i="2"/>
  <c r="C4" i="2"/>
  <c r="B4" i="2"/>
  <c r="A4" i="2"/>
</calcChain>
</file>

<file path=xl/sharedStrings.xml><?xml version="1.0" encoding="utf-8"?>
<sst xmlns="http://schemas.openxmlformats.org/spreadsheetml/2006/main" count="49" uniqueCount="43">
  <si>
    <t>DSA REVISION DASHBOARD</t>
  </si>
  <si>
    <t>Total Problems</t>
  </si>
  <si>
    <t>Revised Today</t>
  </si>
  <si>
    <t>Hard/Extreme</t>
  </si>
  <si>
    <t>Avg Difficulty</t>
  </si>
  <si>
    <t>Mastery %</t>
  </si>
  <si>
    <t>DIFFICULTY BREAKDOWN</t>
  </si>
  <si>
    <t>TOP TOPICS</t>
  </si>
  <si>
    <t>Very Easy</t>
  </si>
  <si>
    <t>Easy</t>
  </si>
  <si>
    <t>Medium</t>
  </si>
  <si>
    <t>Hard</t>
  </si>
  <si>
    <t>Extreme Hard</t>
  </si>
  <si>
    <t>RECENT PROBLEMS (Last 5)</t>
  </si>
  <si>
    <t>Problem</t>
  </si>
  <si>
    <t>Topic</t>
  </si>
  <si>
    <t>Difficulty</t>
  </si>
  <si>
    <t>Tech</t>
  </si>
  <si>
    <t>Approach</t>
  </si>
  <si>
    <t>Link</t>
  </si>
  <si>
    <t>Last Revised</t>
  </si>
  <si>
    <t>Topic/Tag</t>
  </si>
  <si>
    <t>Difficulty Level</t>
  </si>
  <si>
    <t>Tech Stack Used</t>
  </si>
  <si>
    <t>Approach / Concept</t>
  </si>
  <si>
    <t>Problem Link</t>
  </si>
  <si>
    <t>Two Sum</t>
  </si>
  <si>
    <t>Hashing</t>
  </si>
  <si>
    <t>Java, HashMap</t>
  </si>
  <si>
    <t>Use HashMap to store complement lookups in O(n)</t>
  </si>
  <si>
    <t>https://leetcode.com/problems/two-sum/</t>
  </si>
  <si>
    <t>Kruskal MST</t>
  </si>
  <si>
    <t>Graphs</t>
  </si>
  <si>
    <t>Java, DSU</t>
  </si>
  <si>
    <t>Sort edges, union-find with path compression</t>
  </si>
  <si>
    <t>Binary Search</t>
  </si>
  <si>
    <t>Searching</t>
  </si>
  <si>
    <t>Java</t>
  </si>
  <si>
    <t>Left/right pointer convergence</t>
  </si>
  <si>
    <t>LRU Cache</t>
  </si>
  <si>
    <t>Design</t>
  </si>
  <si>
    <t>Java, LinkedHashMap</t>
  </si>
  <si>
    <t>Doubly linked list + HashMap for O(1) get/put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</si>
</sst>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F800]dddd\,\ mmmm\ dd\,\ yyyy"/>
  </numFmts>
  <fonts count="20" x14ac:knownFonts="1">
    <font>
      <sz val="11"/>
      <color theme="1"/>
      <name val="Calibri"/>
      <family val="2"/>
      <scheme val="minor"/>
    </font>
    <font>
      <sz val="10"/>
      <name val="Calibri"/>
      <family val="2"/>
    </font>
    <font>
      <b/>
      <sz val="11"/>
      <color rgb="FFFFFFFF"/>
      <name val="Calibri"/>
    </font>
    <font>
      <sz val="10"/>
      <name val="Calibri"/>
    </font>
    <font>
      <b/>
      <sz val="18"/>
      <color rgb="FFFFFFFF"/>
      <name val="Calibri"/>
    </font>
    <font>
      <b/>
      <sz val="9"/>
      <color rgb="FF0D47A1"/>
      <name val="Calibri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0"/>
      <color rgb="FF1B5E20"/>
      <name val="Calibri"/>
    </font>
    <font>
      <b/>
      <sz val="11"/>
      <color rgb="FF1B5E20"/>
      <name val="Calibri"/>
    </font>
    <font>
      <b/>
      <sz val="10"/>
      <color rgb="FF2E7D32"/>
      <name val="Calibri"/>
    </font>
    <font>
      <b/>
      <sz val="11"/>
      <color rgb="FF2E7D32"/>
      <name val="Calibri"/>
    </font>
    <font>
      <b/>
      <sz val="10"/>
      <color rgb="FFE65100"/>
      <name val="Calibri"/>
    </font>
    <font>
      <b/>
      <sz val="11"/>
      <color rgb="FFE65100"/>
      <name val="Calibri"/>
    </font>
    <font>
      <b/>
      <sz val="10"/>
      <color rgb="FFBF360C"/>
      <name val="Calibri"/>
    </font>
    <font>
      <b/>
      <sz val="11"/>
      <color rgb="FFBF360C"/>
      <name val="Calibri"/>
    </font>
    <font>
      <b/>
      <sz val="10"/>
      <color rgb="FFC62828"/>
      <name val="Calibri"/>
    </font>
    <font>
      <b/>
      <sz val="11"/>
      <color rgb="FFC62828"/>
      <name val="Calibri"/>
    </font>
    <font>
      <b/>
      <sz val="9"/>
      <color rgb="FF424242"/>
      <name val="Calibri"/>
    </font>
    <font>
      <sz val="9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0D1117"/>
        <bgColor rgb="FF0D1117"/>
      </patternFill>
    </fill>
    <fill>
      <patternFill patternType="solid">
        <fgColor rgb="FFE8F5E9"/>
        <bgColor rgb="FFE8F5E9"/>
      </patternFill>
    </fill>
    <fill>
      <patternFill patternType="solid">
        <fgColor rgb="FFF5F5F5"/>
        <bgColor rgb="FFF5F5F5"/>
      </patternFill>
    </fill>
    <fill>
      <patternFill patternType="solid">
        <fgColor rgb="FFE3F2FD"/>
        <bgColor rgb="FFE3F2FD"/>
      </patternFill>
    </fill>
    <fill>
      <patternFill patternType="solid">
        <fgColor rgb="FF1E88E5"/>
        <bgColor rgb="FF1E88E5"/>
      </patternFill>
    </fill>
    <fill>
      <patternFill patternType="solid">
        <fgColor rgb="FFC8E6C9"/>
        <bgColor rgb="FFC8E6C9"/>
      </patternFill>
    </fill>
    <fill>
      <patternFill patternType="solid">
        <fgColor rgb="FFA5D6A7"/>
        <bgColor rgb="FFA5D6A7"/>
      </patternFill>
    </fill>
    <fill>
      <patternFill patternType="solid">
        <fgColor rgb="FFFFE0B2"/>
        <bgColor rgb="FFFFE0B2"/>
      </patternFill>
    </fill>
    <fill>
      <patternFill patternType="solid">
        <fgColor rgb="FFFFCCBC"/>
        <bgColor rgb="FFFFCCBC"/>
      </patternFill>
    </fill>
    <fill>
      <patternFill patternType="solid">
        <fgColor rgb="FFFFCDD2"/>
        <bgColor rgb="FFFFCDD2"/>
      </patternFill>
    </fill>
    <fill>
      <patternFill patternType="solid">
        <fgColor rgb="FFE0E0E0"/>
        <bgColor rgb="FFE0E0E0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medium">
        <color rgb="FF1976D2"/>
      </left>
      <right style="medium">
        <color rgb="FF1976D2"/>
      </right>
      <top style="medium">
        <color rgb="FF1976D2"/>
      </top>
      <bottom style="medium">
        <color rgb="FF1976D2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49" fontId="6" fillId="6" borderId="2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vertical="center"/>
    </xf>
    <xf numFmtId="1" fontId="9" fillId="7" borderId="1" xfId="0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left" vertical="center"/>
    </xf>
    <xf numFmtId="1" fontId="11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  <xf numFmtId="1" fontId="13" fillId="9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left" vertical="center"/>
    </xf>
    <xf numFmtId="1" fontId="15" fillId="10" borderId="1" xfId="0" applyNumberFormat="1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left" vertical="center"/>
    </xf>
    <xf numFmtId="1" fontId="17" fillId="11" borderId="1" xfId="0" applyNumberFormat="1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 wrapText="1"/>
    </xf>
    <xf numFmtId="0" fontId="19" fillId="13" borderId="1" xfId="0" applyFont="1" applyFill="1" applyBorder="1" applyAlignment="1">
      <alignment vertical="top" wrapText="1"/>
    </xf>
    <xf numFmtId="0" fontId="19" fillId="14" borderId="1" xfId="0" applyFont="1" applyFill="1" applyBorder="1" applyAlignment="1">
      <alignment vertical="top" wrapText="1"/>
    </xf>
    <xf numFmtId="0" fontId="7" fillId="2" borderId="0" xfId="0" applyFont="1" applyFill="1" applyAlignment="1">
      <alignment horizontal="left" vertical="center"/>
    </xf>
    <xf numFmtId="0" fontId="0" fillId="0" borderId="0" xfId="0"/>
    <xf numFmtId="0" fontId="7" fillId="2" borderId="0" xfId="0" applyFont="1" applyFill="1"/>
    <xf numFmtId="0" fontId="4" fillId="2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3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3" fillId="3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top"/>
    </xf>
    <xf numFmtId="0" fontId="3" fillId="4" borderId="1" xfId="0" applyFont="1" applyFill="1" applyBorder="1" applyAlignment="1">
      <alignment horizontal="left" vertical="top"/>
    </xf>
    <xf numFmtId="0" fontId="0" fillId="0" borderId="0" xfId="0" applyAlignment="1">
      <alignment horizontal="left"/>
    </xf>
    <xf numFmtId="166" fontId="2" fillId="2" borderId="1" xfId="0" applyNumberFormat="1" applyFont="1" applyFill="1" applyBorder="1" applyAlignment="1">
      <alignment horizontal="right" vertical="center" wrapText="1"/>
    </xf>
    <xf numFmtId="166" fontId="3" fillId="3" borderId="1" xfId="0" applyNumberFormat="1" applyFont="1" applyFill="1" applyBorder="1" applyAlignment="1">
      <alignment horizontal="right" vertical="top" wrapText="1"/>
    </xf>
    <xf numFmtId="166" fontId="3" fillId="4" borderId="1" xfId="0" applyNumberFormat="1" applyFont="1" applyFill="1" applyBorder="1" applyAlignment="1">
      <alignment horizontal="right" vertical="top" wrapText="1"/>
    </xf>
    <xf numFmtId="166" fontId="0" fillId="0" borderId="0" xfId="0" applyNumberFormat="1" applyAlignment="1">
      <alignment horizontal="right" wrapText="1"/>
    </xf>
    <xf numFmtId="0" fontId="1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pane ySplit="1" topLeftCell="A2" activePane="bottomLeft" state="frozen"/>
      <selection pane="bottomLeft" activeCell="C14" sqref="C14"/>
    </sheetView>
  </sheetViews>
  <sheetFormatPr defaultRowHeight="14.4" x14ac:dyDescent="0.3"/>
  <cols>
    <col min="1" max="1" width="22" style="28" customWidth="1"/>
    <col min="2" max="2" width="40" style="28" customWidth="1"/>
    <col min="3" max="3" width="22" style="28" customWidth="1"/>
    <col min="4" max="4" width="20" style="24" customWidth="1"/>
    <col min="5" max="5" width="32" style="34" customWidth="1"/>
    <col min="6" max="6" width="16" style="24" customWidth="1"/>
    <col min="7" max="7" width="23.109375" style="38" customWidth="1"/>
    <col min="8" max="16384" width="8.88671875" style="28"/>
  </cols>
  <sheetData>
    <row r="1" spans="1:7" ht="25.05" customHeight="1" x14ac:dyDescent="0.3">
      <c r="A1" s="27" t="s">
        <v>14</v>
      </c>
      <c r="B1" s="27" t="s">
        <v>24</v>
      </c>
      <c r="C1" s="27" t="s">
        <v>23</v>
      </c>
      <c r="D1" s="2" t="s">
        <v>21</v>
      </c>
      <c r="E1" s="31" t="s">
        <v>25</v>
      </c>
      <c r="F1" s="2" t="s">
        <v>22</v>
      </c>
      <c r="G1" s="35" t="s">
        <v>20</v>
      </c>
    </row>
    <row r="2" spans="1:7" ht="28.8" customHeight="1" x14ac:dyDescent="0.3">
      <c r="A2" s="29" t="s">
        <v>26</v>
      </c>
      <c r="B2" s="29" t="s">
        <v>29</v>
      </c>
      <c r="C2" s="29" t="s">
        <v>28</v>
      </c>
      <c r="D2" s="25" t="s">
        <v>27</v>
      </c>
      <c r="E2" s="32" t="s">
        <v>30</v>
      </c>
      <c r="F2" s="39" t="s">
        <v>9</v>
      </c>
      <c r="G2" s="36">
        <v>46227</v>
      </c>
    </row>
    <row r="3" spans="1:7" ht="28.8" customHeight="1" x14ac:dyDescent="0.3">
      <c r="A3" s="30" t="s">
        <v>31</v>
      </c>
      <c r="B3" s="30" t="s">
        <v>34</v>
      </c>
      <c r="C3" s="30" t="s">
        <v>33</v>
      </c>
      <c r="D3" s="26" t="s">
        <v>32</v>
      </c>
      <c r="E3" s="33"/>
      <c r="F3" s="23" t="s">
        <v>11</v>
      </c>
      <c r="G3" s="37">
        <v>46228</v>
      </c>
    </row>
    <row r="4" spans="1:7" x14ac:dyDescent="0.3">
      <c r="A4" s="29" t="s">
        <v>35</v>
      </c>
      <c r="B4" s="29" t="s">
        <v>38</v>
      </c>
      <c r="C4" s="29" t="s">
        <v>37</v>
      </c>
      <c r="D4" s="25" t="s">
        <v>36</v>
      </c>
      <c r="E4" s="32"/>
      <c r="F4" s="22" t="s">
        <v>8</v>
      </c>
      <c r="G4" s="36">
        <v>46226</v>
      </c>
    </row>
    <row r="5" spans="1:7" ht="28.8" customHeight="1" x14ac:dyDescent="0.3">
      <c r="A5" s="30" t="s">
        <v>39</v>
      </c>
      <c r="B5" s="30" t="s">
        <v>42</v>
      </c>
      <c r="C5" s="30" t="s">
        <v>41</v>
      </c>
      <c r="D5" s="26" t="s">
        <v>40</v>
      </c>
      <c r="E5" s="33"/>
      <c r="F5" s="23" t="s">
        <v>10</v>
      </c>
      <c r="G5" s="37">
        <v>46224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"/>
  <sheetViews>
    <sheetView workbookViewId="0">
      <selection activeCell="A7" sqref="A7"/>
    </sheetView>
  </sheetViews>
  <sheetFormatPr defaultRowHeight="14.4" x14ac:dyDescent="0.3"/>
  <cols>
    <col min="1" max="1" width="22" style="1" customWidth="1"/>
    <col min="2" max="2" width="20" customWidth="1"/>
    <col min="3" max="3" width="16" customWidth="1"/>
    <col min="4" max="4" width="22" customWidth="1"/>
    <col min="5" max="5" width="40" customWidth="1"/>
    <col min="6" max="6" width="32" customWidth="1"/>
    <col min="7" max="7" width="16" customWidth="1"/>
  </cols>
  <sheetData>
    <row r="1" spans="1:7" ht="31.95" customHeight="1" x14ac:dyDescent="0.3">
      <c r="A1" s="21" t="s">
        <v>0</v>
      </c>
      <c r="B1" s="19"/>
      <c r="C1" s="19"/>
      <c r="D1" s="19"/>
      <c r="E1" s="19"/>
      <c r="F1" s="19"/>
      <c r="G1" s="19"/>
    </row>
    <row r="2" spans="1:7" ht="4.95" customHeight="1" x14ac:dyDescent="0.3"/>
    <row r="3" spans="1:7" ht="18" customHeight="1" x14ac:dyDescent="0.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</row>
    <row r="4" spans="1:7" ht="28.05" customHeight="1" x14ac:dyDescent="0.3">
      <c r="A4" s="4">
        <f>COUNTA('Raw Data'!$A$2:$A$100)</f>
        <v>4</v>
      </c>
      <c r="B4" s="4">
        <f ca="1">COUNTIF('Raw Data'!$G$2:$G$100,TODAY())</f>
        <v>1</v>
      </c>
      <c r="C4" s="4">
        <f>COUNTIF('Raw Data'!$F$2:$F$100,"Hard")+COUNTIF('Raw Data'!$F$2:$F$100,"Extreme Hard")</f>
        <v>1</v>
      </c>
      <c r="D4" s="4">
        <f>IFERROR(ROUND(AVERAGE(IF('Raw Data'!$F$2:$F$100="Very Easy",1,IF('Raw Data'!$F$2:$F$100="Easy",2,IF('Raw Data'!$F$2:$F$100="Medium",3,IF('Raw Data'!$F$2:$F$100="Hard",4,5))))),1),"—")</f>
        <v>1</v>
      </c>
      <c r="E4" s="4" t="str">
        <f>IFERROR(ROUND(COUNTIF('Raw Data'!$F$2:$F$100,"Easy")+COUNTIF('Raw Data'!$F$2:$F$100,"Medium")+COUNTIF('Raw Data'!$F$2:$F$100,"Hard")+COUNTIF('Raw Data'!$F$2:$F$100,"Extreme Hard")/COUNTA('Raw Data'!$A$2:$A$100)*100,0)&amp;"%","—")</f>
        <v>3%</v>
      </c>
    </row>
    <row r="5" spans="1:7" ht="7.95" customHeight="1" x14ac:dyDescent="0.3"/>
    <row r="6" spans="1:7" ht="22.05" customHeight="1" x14ac:dyDescent="0.3">
      <c r="A6" s="18" t="s">
        <v>6</v>
      </c>
      <c r="B6" s="19"/>
      <c r="D6" s="18" t="s">
        <v>7</v>
      </c>
      <c r="E6" s="19"/>
    </row>
    <row r="7" spans="1:7" ht="19.95" customHeight="1" x14ac:dyDescent="0.3">
      <c r="A7" s="5" t="s">
        <v>8</v>
      </c>
      <c r="B7" s="6">
        <f>COUNTIF('Raw Data'!$F$2:$F$100,"Very Easy")</f>
        <v>1</v>
      </c>
    </row>
    <row r="8" spans="1:7" ht="19.95" customHeight="1" x14ac:dyDescent="0.3">
      <c r="A8" s="7" t="s">
        <v>9</v>
      </c>
      <c r="B8" s="8">
        <f>COUNTIF('Raw Data'!$F$2:$F$100,"Easy")</f>
        <v>1</v>
      </c>
    </row>
    <row r="9" spans="1:7" ht="19.95" customHeight="1" x14ac:dyDescent="0.3">
      <c r="A9" s="9" t="s">
        <v>10</v>
      </c>
      <c r="B9" s="10">
        <f>COUNTIF('Raw Data'!$F$2:$F$100,"Medium")</f>
        <v>1</v>
      </c>
    </row>
    <row r="10" spans="1:7" ht="19.95" customHeight="1" x14ac:dyDescent="0.3">
      <c r="A10" s="11" t="s">
        <v>11</v>
      </c>
      <c r="B10" s="12">
        <f>COUNTIF('Raw Data'!$F$2:$F$100,"Hard")</f>
        <v>1</v>
      </c>
    </row>
    <row r="11" spans="1:7" ht="19.95" customHeight="1" x14ac:dyDescent="0.3">
      <c r="A11" s="13" t="s">
        <v>12</v>
      </c>
      <c r="B11" s="14">
        <f>COUNTIF('Raw Data'!$F$2:$F$100,"Extreme Hard")</f>
        <v>0</v>
      </c>
    </row>
    <row r="12" spans="1:7" ht="4.95" customHeight="1" x14ac:dyDescent="0.3"/>
    <row r="13" spans="1:7" ht="22.05" customHeight="1" x14ac:dyDescent="0.3">
      <c r="A13" s="20" t="s">
        <v>13</v>
      </c>
      <c r="B13" s="19"/>
      <c r="C13" s="19"/>
      <c r="D13" s="19"/>
      <c r="E13" s="19"/>
      <c r="F13" s="19"/>
      <c r="G13" s="19"/>
    </row>
    <row r="14" spans="1:7" ht="18" customHeight="1" x14ac:dyDescent="0.3">
      <c r="A14" s="15" t="s">
        <v>14</v>
      </c>
      <c r="B14" s="15" t="s">
        <v>15</v>
      </c>
      <c r="C14" s="15" t="s">
        <v>16</v>
      </c>
      <c r="D14" s="15" t="s">
        <v>17</v>
      </c>
      <c r="E14" s="15" t="s">
        <v>18</v>
      </c>
      <c r="F14" s="15" t="s">
        <v>19</v>
      </c>
      <c r="G14" s="15" t="s">
        <v>20</v>
      </c>
    </row>
    <row r="15" spans="1:7" ht="33" customHeight="1" x14ac:dyDescent="0.3">
      <c r="A15" s="16"/>
      <c r="B15" s="16"/>
      <c r="C15" s="16"/>
      <c r="D15" s="16"/>
      <c r="E15" s="16"/>
      <c r="F15" s="16"/>
      <c r="G15" s="16"/>
    </row>
    <row r="16" spans="1:7" ht="46.8" customHeight="1" x14ac:dyDescent="0.3">
      <c r="A16" s="17"/>
      <c r="B16" s="17"/>
      <c r="C16" s="17"/>
      <c r="D16" s="17"/>
      <c r="E16" s="17"/>
      <c r="F16" s="17"/>
      <c r="G16" s="17"/>
    </row>
    <row r="17" spans="1:7" ht="28.8" customHeight="1" x14ac:dyDescent="0.3">
      <c r="A17" s="16"/>
      <c r="B17" s="16"/>
      <c r="C17" s="16"/>
      <c r="D17" s="16"/>
      <c r="E17" s="16"/>
      <c r="F17" s="16"/>
      <c r="G17" s="16"/>
    </row>
    <row r="18" spans="1:7" ht="45.6" customHeight="1" x14ac:dyDescent="0.3">
      <c r="A18" s="17"/>
      <c r="B18" s="17"/>
      <c r="C18" s="17"/>
      <c r="D18" s="17"/>
      <c r="E18" s="17"/>
      <c r="F18" s="17"/>
      <c r="G18" s="17"/>
    </row>
    <row r="19" spans="1:7" ht="34.200000000000003" customHeight="1" x14ac:dyDescent="0.3">
      <c r="A19" s="16"/>
      <c r="B19" s="16"/>
      <c r="C19" s="16"/>
      <c r="D19" s="16"/>
      <c r="E19" s="16"/>
      <c r="F19" s="16"/>
      <c r="G19" s="16"/>
    </row>
  </sheetData>
  <mergeCells count="4">
    <mergeCell ref="D6:E6"/>
    <mergeCell ref="A13:G13"/>
    <mergeCell ref="A6:B6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dcterms:created xsi:type="dcterms:W3CDTF">2026-07-25T05:50:17Z</dcterms:created>
  <dcterms:modified xsi:type="dcterms:W3CDTF">2026-07-25T06:50:47Z</dcterms:modified>
</cp:coreProperties>
</file>